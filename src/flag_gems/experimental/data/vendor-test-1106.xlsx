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860"/>
  </bookViews>
  <sheets>
    <sheet name="说明" sheetId="9" r:id="rId1"/>
    <sheet name="OpList" sheetId="22" r:id="rId2"/>
    <sheet name="Speedup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<sst xmlns="http://schemas.openxmlformats.org/spreadsheetml/2006/main" count="655" uniqueCount="257">
  <si>
    <r>
      <t>测试说明（2025.11.05）</t>
    </r>
    <r>
      <rPr>
        <sz val="14"/>
        <color theme="1"/>
        <rFont val="等线"/>
        <charset val="134"/>
      </rPr>
      <t xml:space="preserve">
1. </t>
    </r>
    <r>
      <rPr>
        <b/>
        <sz val="14"/>
        <color theme="1"/>
        <rFont val="等线"/>
        <charset val="134"/>
      </rPr>
      <t>测试环境</t>
    </r>
    <r>
      <rPr>
        <sz val="14"/>
        <color theme="1"/>
        <rFont val="等线"/>
        <charset val="134"/>
      </rPr>
      <t>：本文件测试环境为NVIDIA A100单卡，python版本3.12.3，torch版本2.8.0，triton版本3.2.0，gems版本号3.0，commit id为</t>
    </r>
    <r>
      <rPr>
        <b/>
        <sz val="14"/>
        <color rgb="FFFF0000"/>
        <rFont val="等线"/>
        <charset val="134"/>
      </rPr>
      <t>c0ec9d8b707f8d1bb6f10ed79eaadcf886607f40</t>
    </r>
    <r>
      <rPr>
        <sz val="14"/>
        <color theme="1"/>
        <rFont val="等线"/>
        <charset val="134"/>
      </rPr>
      <t>。请厂商在文件中标出使用的环境信息和依赖版本。
2.</t>
    </r>
    <r>
      <rPr>
        <b/>
        <sz val="14"/>
        <color theme="1"/>
        <rFont val="等线"/>
        <charset val="134"/>
      </rPr>
      <t xml:space="preserve"> 测试代码</t>
    </r>
    <r>
      <rPr>
        <sz val="14"/>
        <color theme="1"/>
        <rFont val="等线"/>
        <charset val="134"/>
      </rPr>
      <t>：进入目录FlagGems/benchmark/，先后执行指令`</t>
    </r>
    <r>
      <rPr>
        <sz val="14"/>
        <color rgb="FFFF0000"/>
        <rFont val="等线"/>
        <charset val="134"/>
      </rPr>
      <t>pytest --level core --record log</t>
    </r>
    <r>
      <rPr>
        <sz val="14"/>
        <color theme="1"/>
        <rFont val="等线"/>
        <charset val="134"/>
      </rPr>
      <t>`和`</t>
    </r>
    <r>
      <rPr>
        <sz val="14"/>
        <color rgb="FFFF0000"/>
        <rFont val="等线"/>
        <charset val="134"/>
      </rPr>
      <t>python summary_for_plot.py result--level_core--record_log.log</t>
    </r>
    <r>
      <rPr>
        <sz val="14"/>
        <color theme="1"/>
        <rFont val="等线"/>
        <charset val="134"/>
      </rPr>
      <t xml:space="preserve">`，将命令行输出拷贝到表格Speedup页，日志文件一并提交。如存在格式问题，可使用excel菜单中的“数据-分列-固定宽度”来调整格式。
3. </t>
    </r>
    <r>
      <rPr>
        <b/>
        <sz val="14"/>
        <color theme="1"/>
        <rFont val="等线"/>
        <charset val="134"/>
      </rPr>
      <t>测试对象</t>
    </r>
    <r>
      <rPr>
        <sz val="14"/>
        <color theme="1"/>
        <rFont val="等线"/>
        <charset val="134"/>
      </rPr>
      <t>：当前版本支持算子共</t>
    </r>
    <r>
      <rPr>
        <b/>
        <sz val="14"/>
        <color rgb="FFFF0000"/>
        <rFont val="等线"/>
        <charset val="134"/>
      </rPr>
      <t>210个</t>
    </r>
    <r>
      <rPr>
        <sz val="14"/>
        <color theme="1"/>
        <rFont val="等线"/>
        <charset val="134"/>
      </rPr>
      <t>，统计以可用api数量为口径。通过性测试文件分别</t>
    </r>
    <r>
      <rPr>
        <sz val="14"/>
        <rFont val="等线"/>
        <charset val="134"/>
      </rPr>
      <t>在test_attention_ops.py, test</t>
    </r>
    <r>
      <rPr>
        <sz val="14"/>
        <color theme="1"/>
        <rFont val="等线"/>
        <charset val="134"/>
      </rPr>
      <t>_unary_pointwise_ops.py，test_binary_pointwise_ops.py，test_reduction_ops.py，test_general_reduction_ops.py，test_norm_ops.py，test_blas_ops.py, test_distribution_ops.py, test_tensor_constructor_ops.py和test_special_ops.py中（同路径下的文件</t>
    </r>
    <r>
      <rPr>
        <sz val="14"/>
        <color theme="9"/>
        <rFont val="等线"/>
        <charset val="134"/>
      </rPr>
      <t>ks_tests.py, test_quant.py</t>
    </r>
    <r>
      <rPr>
        <sz val="14"/>
        <color theme="1"/>
        <rFont val="等线"/>
        <charset val="134"/>
      </rPr>
      <t xml:space="preserve">暂时不需要测试）。
4. </t>
    </r>
    <r>
      <rPr>
        <b/>
        <sz val="14"/>
        <color theme="1"/>
        <rFont val="等线"/>
        <charset val="134"/>
      </rPr>
      <t>测试配置</t>
    </r>
    <r>
      <rPr>
        <sz val="14"/>
        <color theme="1"/>
        <rFont val="等线"/>
        <charset val="134"/>
      </rPr>
      <t xml:space="preserve">：测试配置见benchmark/core_shapes.yaml文件。
5. </t>
    </r>
    <r>
      <rPr>
        <b/>
        <sz val="14"/>
        <color theme="1"/>
        <rFont val="等线"/>
        <charset val="134"/>
      </rPr>
      <t>测试结果</t>
    </r>
    <r>
      <rPr>
        <sz val="14"/>
        <color theme="1"/>
        <rFont val="等线"/>
        <charset val="134"/>
      </rPr>
      <t xml:space="preserve">：算子单个测例的speedup定义为eager_time/gems_time，算子整体的speedup定义为各个形状上加速比的均值。测试结果可能存在小范围波动，建议充分预热、多次重复后取均值。
6. </t>
    </r>
    <r>
      <rPr>
        <b/>
        <sz val="14"/>
        <color theme="1"/>
        <rFont val="等线"/>
        <charset val="134"/>
      </rPr>
      <t>本期重点</t>
    </r>
    <r>
      <rPr>
        <sz val="14"/>
        <color theme="1"/>
        <rFont val="等线"/>
        <charset val="134"/>
      </rPr>
      <t>：</t>
    </r>
    <r>
      <rPr>
        <sz val="14"/>
        <color rgb="FFFF0000"/>
        <rFont val="等线"/>
        <charset val="134"/>
      </rPr>
      <t>本周新增1个算子std。</t>
    </r>
    <r>
      <rPr>
        <sz val="14"/>
        <color theme="1"/>
        <rFont val="等线"/>
        <charset val="134"/>
      </rPr>
      <t>若算子列表中存在厂商没有原生实现的算子，请在SupportList页对相应算子</t>
    </r>
    <r>
      <rPr>
        <b/>
        <sz val="14"/>
        <color rgb="FF496CA6"/>
        <rFont val="等线"/>
        <charset val="134"/>
      </rPr>
      <t>标蓝</t>
    </r>
    <r>
      <rPr>
        <sz val="14"/>
        <color theme="1"/>
        <rFont val="等线"/>
        <charset val="134"/>
      </rPr>
      <t>。
7. 若对测试程序或数据存在疑问，请联系智源@田霄或者@田津津。</t>
    </r>
  </si>
  <si>
    <t>序号</t>
  </si>
  <si>
    <t>算子名</t>
  </si>
  <si>
    <t>float16支持</t>
  </si>
  <si>
    <t>bfloat16支持</t>
  </si>
  <si>
    <t>float32支持</t>
  </si>
  <si>
    <t>int16支持</t>
  </si>
  <si>
    <t>int32支持</t>
  </si>
  <si>
    <t>bool支持</t>
  </si>
  <si>
    <t>cfloat支持</t>
  </si>
  <si>
    <t>通过</t>
  </si>
  <si>
    <t>存在问题</t>
  </si>
  <si>
    <t>abs</t>
  </si>
  <si>
    <t>abs_</t>
  </si>
  <si>
    <t>add</t>
  </si>
  <si>
    <t>add_</t>
  </si>
  <si>
    <t>addcdiv</t>
  </si>
  <si>
    <t>addcmul</t>
  </si>
  <si>
    <t>addmm</t>
  </si>
  <si>
    <t>addmv</t>
  </si>
  <si>
    <t>addr</t>
  </si>
  <si>
    <t>all</t>
  </si>
  <si>
    <t>allclose</t>
  </si>
  <si>
    <t>amax</t>
  </si>
  <si>
    <t>angle</t>
  </si>
  <si>
    <t>any</t>
  </si>
  <si>
    <t>apply_rotary_pos_emb</t>
  </si>
  <si>
    <t>arange</t>
  </si>
  <si>
    <t>argmax</t>
  </si>
  <si>
    <t>argmin</t>
  </si>
  <si>
    <t>atan</t>
  </si>
  <si>
    <t>atan_</t>
  </si>
  <si>
    <t>batch_norm</t>
  </si>
  <si>
    <t>bitwise_and</t>
  </si>
  <si>
    <t>bitwise_and_</t>
  </si>
  <si>
    <t>bitwise_left_shift</t>
  </si>
  <si>
    <t>bitwise_not</t>
  </si>
  <si>
    <t>bitwise_not_</t>
  </si>
  <si>
    <t>bitwise_or</t>
  </si>
  <si>
    <t>bitwise_or_</t>
  </si>
  <si>
    <t>bitwise_right_shift</t>
  </si>
  <si>
    <t>bmm</t>
  </si>
  <si>
    <t>cat</t>
  </si>
  <si>
    <t>celu</t>
  </si>
  <si>
    <t>celu_</t>
  </si>
  <si>
    <t>clamp</t>
  </si>
  <si>
    <t>clamp_</t>
  </si>
  <si>
    <t>concat_and_cache_mla</t>
  </si>
  <si>
    <t>contiguous</t>
  </si>
  <si>
    <t>conv1d</t>
  </si>
  <si>
    <t>conv2d</t>
  </si>
  <si>
    <t>conv3d</t>
  </si>
  <si>
    <t>cos</t>
  </si>
  <si>
    <t>cos_</t>
  </si>
  <si>
    <t>count_nonzero</t>
  </si>
  <si>
    <t>cross_entropy_loss</t>
  </si>
  <si>
    <t>cummax</t>
  </si>
  <si>
    <t>cummin</t>
  </si>
  <si>
    <t>cumsum</t>
  </si>
  <si>
    <t>diag</t>
  </si>
  <si>
    <t>diag_embed</t>
  </si>
  <si>
    <t>diagonal</t>
  </si>
  <si>
    <t>div</t>
  </si>
  <si>
    <t>div_</t>
  </si>
  <si>
    <t>dot</t>
  </si>
  <si>
    <t>dropout</t>
  </si>
  <si>
    <t>elu</t>
  </si>
  <si>
    <t>elu_</t>
  </si>
  <si>
    <t>embedding</t>
  </si>
  <si>
    <t>eq</t>
  </si>
  <si>
    <t>erf</t>
  </si>
  <si>
    <t>erf_</t>
  </si>
  <si>
    <t>exp</t>
  </si>
  <si>
    <t>exp2</t>
  </si>
  <si>
    <t>exp2_</t>
  </si>
  <si>
    <t>exp_</t>
  </si>
  <si>
    <t>exponential_</t>
  </si>
  <si>
    <t>eye</t>
  </si>
  <si>
    <t>fill</t>
  </si>
  <si>
    <t>fill_</t>
  </si>
  <si>
    <t>flash_attention_forward</t>
  </si>
  <si>
    <t>flash_attn_varlen_func</t>
  </si>
  <si>
    <t>flash_mla</t>
  </si>
  <si>
    <t>flip</t>
  </si>
  <si>
    <t>floor_divide</t>
  </si>
  <si>
    <t>floor_divide_</t>
  </si>
  <si>
    <t>full</t>
  </si>
  <si>
    <t>full_like</t>
  </si>
  <si>
    <t>fused_add_rms_norm</t>
  </si>
  <si>
    <t>gather</t>
  </si>
  <si>
    <t>ge</t>
  </si>
  <si>
    <t>gelu</t>
  </si>
  <si>
    <t>gelu_</t>
  </si>
  <si>
    <t>gelu_and_mul</t>
  </si>
  <si>
    <t>get_scheduler_metadata</t>
  </si>
  <si>
    <t>glu</t>
  </si>
  <si>
    <t>group_norm</t>
  </si>
  <si>
    <t>gt</t>
  </si>
  <si>
    <t>hstack</t>
  </si>
  <si>
    <t>index</t>
  </si>
  <si>
    <t>index_add</t>
  </si>
  <si>
    <t>index_add_</t>
  </si>
  <si>
    <t>index_put</t>
  </si>
  <si>
    <t>index_put_</t>
  </si>
  <si>
    <t>index_select</t>
  </si>
  <si>
    <t>instance_norm</t>
  </si>
  <si>
    <t>isclose</t>
  </si>
  <si>
    <t>isfinite</t>
  </si>
  <si>
    <t>isin</t>
  </si>
  <si>
    <t>isinf</t>
  </si>
  <si>
    <t>isnan</t>
  </si>
  <si>
    <t>kron</t>
  </si>
  <si>
    <t>layer_norm</t>
  </si>
  <si>
    <t>le</t>
  </si>
  <si>
    <t>lerp</t>
  </si>
  <si>
    <t>lerp_</t>
  </si>
  <si>
    <t>linspace</t>
  </si>
  <si>
    <t>log</t>
  </si>
  <si>
    <t>logspace</t>
  </si>
  <si>
    <t>log_sigmoid</t>
  </si>
  <si>
    <t>log_softmax</t>
  </si>
  <si>
    <t>logical_and</t>
  </si>
  <si>
    <t>logical_not</t>
  </si>
  <si>
    <t>logical_or</t>
  </si>
  <si>
    <t>logical_xor</t>
  </si>
  <si>
    <t>lt</t>
  </si>
  <si>
    <t>masked_fill</t>
  </si>
  <si>
    <t>masked_fill_</t>
  </si>
  <si>
    <t>masked_select</t>
  </si>
  <si>
    <t>max</t>
  </si>
  <si>
    <t>maximum</t>
  </si>
  <si>
    <t>mean</t>
  </si>
  <si>
    <t>min</t>
  </si>
  <si>
    <t>minimum</t>
  </si>
  <si>
    <t>mm</t>
  </si>
  <si>
    <t>mse_loss</t>
  </si>
  <si>
    <t>mul</t>
  </si>
  <si>
    <t>mul_</t>
  </si>
  <si>
    <t>multinomial</t>
  </si>
  <si>
    <t>mv</t>
  </si>
  <si>
    <t>nan_to_num</t>
  </si>
  <si>
    <t>ne</t>
  </si>
  <si>
    <t>neg</t>
  </si>
  <si>
    <t>neg_</t>
  </si>
  <si>
    <t>nll_loss</t>
  </si>
  <si>
    <t>nonzero</t>
  </si>
  <si>
    <t>normal</t>
  </si>
  <si>
    <t>ones</t>
  </si>
  <si>
    <t>ones_like</t>
  </si>
  <si>
    <t>outer</t>
  </si>
  <si>
    <t>pad</t>
  </si>
  <si>
    <t>polar</t>
  </si>
  <si>
    <t>pow</t>
  </si>
  <si>
    <t>pow_</t>
  </si>
  <si>
    <t>prod</t>
  </si>
  <si>
    <t>quantile</t>
  </si>
  <si>
    <t>rand</t>
  </si>
  <si>
    <t>rand_like</t>
  </si>
  <si>
    <t>randn</t>
  </si>
  <si>
    <t>randn_like</t>
  </si>
  <si>
    <t>randperm</t>
  </si>
  <si>
    <t>reciprocal</t>
  </si>
  <si>
    <t>reciprocal_</t>
  </si>
  <si>
    <t>relu</t>
  </si>
  <si>
    <t>relu_</t>
  </si>
  <si>
    <t>remainder</t>
  </si>
  <si>
    <t>remainder_</t>
  </si>
  <si>
    <t>repeat</t>
  </si>
  <si>
    <t>repeat_interleave</t>
  </si>
  <si>
    <t>reshape_and_cache</t>
  </si>
  <si>
    <t>reshape_and_cache_flash</t>
  </si>
  <si>
    <t>resolve_conj</t>
  </si>
  <si>
    <t>resolve_neg</t>
  </si>
  <si>
    <t>rms_norm</t>
  </si>
  <si>
    <t>rsqrt</t>
  </si>
  <si>
    <t>rsqrt_</t>
  </si>
  <si>
    <t>rwkv_ka_fusion</t>
  </si>
  <si>
    <t>rwkv_mm_sparsity</t>
  </si>
  <si>
    <t>scaled_dot_product_attention</t>
  </si>
  <si>
    <t>scatter</t>
  </si>
  <si>
    <t>scatter_</t>
  </si>
  <si>
    <t>select_scatter</t>
  </si>
  <si>
    <t>sigmoid</t>
  </si>
  <si>
    <t>sigmoid_</t>
  </si>
  <si>
    <t>silu</t>
  </si>
  <si>
    <t>silu_</t>
  </si>
  <si>
    <t>silu_and_mul</t>
  </si>
  <si>
    <t>sin</t>
  </si>
  <si>
    <t>sin_</t>
  </si>
  <si>
    <t>skip_layer_norm</t>
  </si>
  <si>
    <t>slice_scatter</t>
  </si>
  <si>
    <t>softmax</t>
  </si>
  <si>
    <t>softplus</t>
  </si>
  <si>
    <t>sort</t>
  </si>
  <si>
    <t>sqrt</t>
  </si>
  <si>
    <t>sqrt_</t>
  </si>
  <si>
    <t>stack</t>
  </si>
  <si>
    <t>sub</t>
  </si>
  <si>
    <t>sub_</t>
  </si>
  <si>
    <t>sum</t>
  </si>
  <si>
    <t>tanh</t>
  </si>
  <si>
    <t>tanh_</t>
  </si>
  <si>
    <t>threshold</t>
  </si>
  <si>
    <t>tile</t>
  </si>
  <si>
    <t>to</t>
  </si>
  <si>
    <t>topk</t>
  </si>
  <si>
    <t>topk_softmax</t>
  </si>
  <si>
    <t>triu</t>
  </si>
  <si>
    <t>uniform_</t>
  </si>
  <si>
    <t>unique</t>
  </si>
  <si>
    <t>upsample</t>
  </si>
  <si>
    <t>var_mean</t>
  </si>
  <si>
    <t>vdot</t>
  </si>
  <si>
    <t>vector_norm</t>
  </si>
  <si>
    <t>vstack</t>
  </si>
  <si>
    <t>weight_norm</t>
  </si>
  <si>
    <t>where</t>
  </si>
  <si>
    <t>zeros</t>
  </si>
  <si>
    <t>zeros_like</t>
  </si>
  <si>
    <t>总计</t>
  </si>
  <si>
    <t>期望</t>
  </si>
  <si>
    <t>op_name</t>
  </si>
  <si>
    <t>float16_speedup</t>
  </si>
  <si>
    <t>float32_speedup</t>
  </si>
  <si>
    <t>bfloat16_speedup</t>
  </si>
  <si>
    <t>int16_speedup</t>
  </si>
  <si>
    <t>int32_speedup</t>
  </si>
  <si>
    <t>bool_speedup</t>
  </si>
  <si>
    <t>cfloat_speedup</t>
  </si>
  <si>
    <t>all_tests_passed</t>
  </si>
  <si>
    <t>AVERAGE</t>
  </si>
  <si>
    <t>yes</t>
  </si>
  <si>
    <t>clamp_min</t>
  </si>
  <si>
    <t>clamp_min_</t>
  </si>
  <si>
    <t>diagonal backward</t>
  </si>
  <si>
    <t>elu_backward</t>
  </si>
  <si>
    <t>gather backward</t>
  </si>
  <si>
    <t>gelu backward</t>
  </si>
  <si>
    <t>glu backward</t>
  </si>
  <si>
    <t>std</t>
  </si>
  <si>
    <t>max_pool2d_backward</t>
  </si>
  <si>
    <t>max_pool2d_with_indices</t>
  </si>
  <si>
    <t>repeat_interleave_self_int</t>
  </si>
  <si>
    <t>repeat_interleave_self_tensor</t>
  </si>
  <si>
    <t>repeat_interleave_tensor</t>
  </si>
  <si>
    <t>scatter.reduce</t>
  </si>
  <si>
    <t>skip_layernorm</t>
  </si>
  <si>
    <t>softmax backward</t>
  </si>
  <si>
    <t>torch.Tensor.contiguous</t>
  </si>
  <si>
    <t>trace</t>
  </si>
  <si>
    <t>upsample_bicubic2d_aa</t>
  </si>
  <si>
    <t>upsample_nearest2d</t>
  </si>
  <si>
    <t>&lt;80%</t>
  </si>
  <si>
    <t>80%~100%</t>
  </si>
  <si>
    <t>&gt;100%</t>
  </si>
  <si>
    <t>SUM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</si>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</sst>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b/>
      <sz val="12"/>
      <color theme="9"/>
      <name val="等线"/>
      <charset val="134"/>
      <scheme val="minor"/>
    </font>
    <font>
      <b/>
      <sz val="14"/>
      <color rgb="FFFF0000"/>
      <name val="等线"/>
      <charset val="134"/>
    </font>
    <font>
      <sz val="14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theme="1"/>
      <name val="等线"/>
      <charset val="134"/>
    </font>
    <font>
      <sz val="14"/>
      <color rgb="FFFF0000"/>
      <name val="等线"/>
      <charset val="134"/>
    </font>
    <font>
      <sz val="14"/>
      <name val="等线"/>
      <charset val="134"/>
    </font>
    <font>
      <sz val="14"/>
      <color theme="9"/>
      <name val="等线"/>
      <charset val="134"/>
    </font>
    <font>
      <b/>
      <sz val="14"/>
      <color rgb="FF496CA6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99960325937681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1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2D69A"/>
      <color rgb="00156082"/>
      <color rgb="00496CA6"/>
      <color rgb="005AB6C0"/>
      <color rgb="0032417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FlagGems算子加速比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Speedup!$J$1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Speedup!$A$2:$A$210</c:f>
              <c:strCache>
                <c:ptCount val="209"/>
                <c:pt idx="0">
                  <c:v>abs</c:v>
                </c:pt>
                <c:pt idx="1">
                  <c:v>abs_</c:v>
                </c:pt>
                <c:pt idx="2">
                  <c:v>add</c:v>
                </c:pt>
                <c:pt idx="3">
                  <c:v>add_</c:v>
                </c:pt>
                <c:pt idx="4">
                  <c:v>addcdiv</c:v>
                </c:pt>
                <c:pt idx="5">
                  <c:v>addcmul</c:v>
                </c:pt>
                <c:pt idx="6">
                  <c:v>addmm</c:v>
                </c:pt>
                <c:pt idx="7">
                  <c:v>addmv</c:v>
                </c:pt>
                <c:pt idx="8">
                  <c:v>addr</c:v>
                </c:pt>
                <c:pt idx="9">
                  <c:v>all</c:v>
                </c:pt>
                <c:pt idx="10">
                  <c:v>allclose</c:v>
                </c:pt>
                <c:pt idx="11">
                  <c:v>amax</c:v>
                </c:pt>
                <c:pt idx="12">
                  <c:v>angle</c:v>
                </c:pt>
                <c:pt idx="13">
                  <c:v>any</c:v>
                </c:pt>
                <c:pt idx="14">
                  <c:v>apply_rotary_pos_emb</c:v>
                </c:pt>
                <c:pt idx="15">
                  <c:v>arange</c:v>
                </c:pt>
                <c:pt idx="16">
                  <c:v>argmax</c:v>
                </c:pt>
                <c:pt idx="17">
                  <c:v>argmin</c:v>
                </c:pt>
                <c:pt idx="18">
                  <c:v>atan</c:v>
                </c:pt>
                <c:pt idx="19">
                  <c:v>batch_norm</c:v>
                </c:pt>
                <c:pt idx="20">
                  <c:v>bitwise_and</c:v>
                </c:pt>
                <c:pt idx="21">
                  <c:v>bitwise_and_</c:v>
                </c:pt>
                <c:pt idx="22">
                  <c:v>bitwise_left_shift</c:v>
                </c:pt>
                <c:pt idx="23">
                  <c:v>bitwise_not</c:v>
                </c:pt>
                <c:pt idx="24">
                  <c:v>bitwise_not_</c:v>
                </c:pt>
                <c:pt idx="25">
                  <c:v>bitwise_or</c:v>
                </c:pt>
                <c:pt idx="26">
                  <c:v>bitwise_or_</c:v>
                </c:pt>
                <c:pt idx="27">
                  <c:v>bitwise_right_shift</c:v>
                </c:pt>
                <c:pt idx="28">
                  <c:v>bmm</c:v>
                </c:pt>
                <c:pt idx="29">
                  <c:v>cat</c:v>
                </c:pt>
                <c:pt idx="30">
                  <c:v>celu</c:v>
                </c:pt>
                <c:pt idx="31">
                  <c:v>celu_</c:v>
                </c:pt>
                <c:pt idx="32">
                  <c:v>clamp</c:v>
                </c:pt>
                <c:pt idx="33">
                  <c:v>clamp_</c:v>
                </c:pt>
                <c:pt idx="34">
                  <c:v>clamp_min</c:v>
                </c:pt>
                <c:pt idx="35">
                  <c:v>clamp_min_</c:v>
                </c:pt>
                <c:pt idx="36">
                  <c:v>conv3d</c:v>
                </c:pt>
                <c:pt idx="37">
                  <c:v>cos</c:v>
                </c:pt>
                <c:pt idx="38">
                  <c:v>cos_</c:v>
                </c:pt>
                <c:pt idx="39">
                  <c:v>count_nonzero</c:v>
                </c:pt>
                <c:pt idx="40">
                  <c:v>cross_entropy_loss</c:v>
                </c:pt>
                <c:pt idx="41">
                  <c:v>cummax</c:v>
                </c:pt>
                <c:pt idx="42">
                  <c:v>cummin</c:v>
                </c:pt>
                <c:pt idx="43">
                  <c:v>cumsum</c:v>
                </c:pt>
                <c:pt idx="44">
                  <c:v>diag</c:v>
                </c:pt>
                <c:pt idx="45">
                  <c:v>diag_embed</c:v>
                </c:pt>
                <c:pt idx="46">
                  <c:v>diagonal backward</c:v>
                </c:pt>
                <c:pt idx="47">
                  <c:v>div</c:v>
                </c:pt>
                <c:pt idx="48">
                  <c:v>div_</c:v>
                </c:pt>
                <c:pt idx="49">
                  <c:v>dot</c:v>
                </c:pt>
                <c:pt idx="50">
                  <c:v>dropout</c:v>
                </c:pt>
                <c:pt idx="51">
                  <c:v>elu</c:v>
                </c:pt>
                <c:pt idx="52">
                  <c:v>elu_</c:v>
                </c:pt>
                <c:pt idx="53">
                  <c:v>elu_backward</c:v>
                </c:pt>
                <c:pt idx="54">
                  <c:v>embedding</c:v>
                </c:pt>
                <c:pt idx="55">
                  <c:v>eq</c:v>
                </c:pt>
                <c:pt idx="56">
                  <c:v>erf</c:v>
                </c:pt>
                <c:pt idx="57">
                  <c:v>erf_</c:v>
                </c:pt>
                <c:pt idx="58">
                  <c:v>exp</c:v>
                </c:pt>
                <c:pt idx="59">
                  <c:v>exp2</c:v>
                </c:pt>
                <c:pt idx="60">
                  <c:v>exp2_</c:v>
                </c:pt>
                <c:pt idx="61">
                  <c:v>exp_</c:v>
                </c:pt>
                <c:pt idx="62">
                  <c:v>exponential_</c:v>
                </c:pt>
                <c:pt idx="63">
                  <c:v>eye</c:v>
                </c:pt>
                <c:pt idx="64">
                  <c:v>fill</c:v>
                </c:pt>
                <c:pt idx="65">
                  <c:v>fill_</c:v>
                </c:pt>
                <c:pt idx="66">
                  <c:v>flash_mla</c:v>
                </c:pt>
                <c:pt idx="67">
                  <c:v>flip</c:v>
                </c:pt>
                <c:pt idx="68">
                  <c:v>floor_divide</c:v>
                </c:pt>
                <c:pt idx="69">
                  <c:v>floor_divide_</c:v>
                </c:pt>
                <c:pt idx="70">
                  <c:v>full</c:v>
                </c:pt>
                <c:pt idx="71">
                  <c:v>full_like</c:v>
                </c:pt>
                <c:pt idx="72">
                  <c:v>fused_add_rms_norm</c:v>
                </c:pt>
                <c:pt idx="73">
                  <c:v>gather</c:v>
                </c:pt>
                <c:pt idx="74">
                  <c:v>gather backward</c:v>
                </c:pt>
                <c:pt idx="75">
                  <c:v>ge</c:v>
                </c:pt>
                <c:pt idx="76">
                  <c:v>gelu</c:v>
                </c:pt>
                <c:pt idx="77">
                  <c:v>gelu backward</c:v>
                </c:pt>
                <c:pt idx="78">
                  <c:v>gelu_</c:v>
                </c:pt>
                <c:pt idx="79">
                  <c:v>gelu_and_mul</c:v>
                </c:pt>
                <c:pt idx="80">
                  <c:v>glu</c:v>
                </c:pt>
                <c:pt idx="81">
                  <c:v>glu backward</c:v>
                </c:pt>
                <c:pt idx="82">
                  <c:v>group_norm</c:v>
                </c:pt>
                <c:pt idx="83">
                  <c:v>gt</c:v>
                </c:pt>
                <c:pt idx="84">
                  <c:v>hstack</c:v>
                </c:pt>
                <c:pt idx="85">
                  <c:v>index</c:v>
                </c:pt>
                <c:pt idx="86">
                  <c:v>index_add</c:v>
                </c:pt>
                <c:pt idx="87">
                  <c:v>index_add_</c:v>
                </c:pt>
                <c:pt idx="88">
                  <c:v>std</c:v>
                </c:pt>
                <c:pt idx="89">
                  <c:v>index_put_</c:v>
                </c:pt>
                <c:pt idx="90">
                  <c:v>index_select</c:v>
                </c:pt>
                <c:pt idx="91">
                  <c:v>instance_norm</c:v>
                </c:pt>
                <c:pt idx="92">
                  <c:v>isclose</c:v>
                </c:pt>
                <c:pt idx="93">
                  <c:v>isfinite</c:v>
                </c:pt>
                <c:pt idx="94">
                  <c:v>isin</c:v>
                </c:pt>
                <c:pt idx="95">
                  <c:v>isinf</c:v>
                </c:pt>
                <c:pt idx="96">
                  <c:v>isnan</c:v>
                </c:pt>
                <c:pt idx="97">
                  <c:v>kron</c:v>
                </c:pt>
                <c:pt idx="98">
                  <c:v>layer_norm</c:v>
                </c:pt>
                <c:pt idx="99">
                  <c:v>le</c:v>
                </c:pt>
                <c:pt idx="100">
                  <c:v>lerp</c:v>
                </c:pt>
                <c:pt idx="101">
                  <c:v>lerp_</c:v>
                </c:pt>
                <c:pt idx="102">
                  <c:v>linspace</c:v>
                </c:pt>
                <c:pt idx="103">
                  <c:v>log</c:v>
                </c:pt>
                <c:pt idx="104">
                  <c:v>log_sigmoid</c:v>
                </c:pt>
                <c:pt idx="105">
                  <c:v>log_softmax</c:v>
                </c:pt>
                <c:pt idx="106">
                  <c:v>logical_and</c:v>
                </c:pt>
                <c:pt idx="107">
                  <c:v>logical_not</c:v>
                </c:pt>
                <c:pt idx="108">
                  <c:v>logical_or</c:v>
                </c:pt>
                <c:pt idx="109">
                  <c:v>logical_xor</c:v>
                </c:pt>
                <c:pt idx="110">
                  <c:v>logspace</c:v>
                </c:pt>
                <c:pt idx="111">
                  <c:v>lt</c:v>
                </c:pt>
                <c:pt idx="112">
                  <c:v>masked_fill</c:v>
                </c:pt>
                <c:pt idx="113">
                  <c:v>masked_select</c:v>
                </c:pt>
                <c:pt idx="114">
                  <c:v>max</c:v>
                </c:pt>
                <c:pt idx="115">
                  <c:v>max_pool2d_backward</c:v>
                </c:pt>
                <c:pt idx="116">
                  <c:v>max_pool2d_with_indices</c:v>
                </c:pt>
                <c:pt idx="117">
                  <c:v>maximum</c:v>
                </c:pt>
                <c:pt idx="118">
                  <c:v>mean</c:v>
                </c:pt>
                <c:pt idx="119">
                  <c:v>min</c:v>
                </c:pt>
                <c:pt idx="120">
                  <c:v>minimum</c:v>
                </c:pt>
                <c:pt idx="121">
                  <c:v>mm</c:v>
                </c:pt>
                <c:pt idx="122">
                  <c:v>mse_loss</c:v>
                </c:pt>
                <c:pt idx="123">
                  <c:v>mul</c:v>
                </c:pt>
                <c:pt idx="124">
                  <c:v>mul_</c:v>
                </c:pt>
                <c:pt idx="125">
                  <c:v>multinomial</c:v>
                </c:pt>
                <c:pt idx="126">
                  <c:v>mv</c:v>
                </c:pt>
                <c:pt idx="127">
                  <c:v>nan_to_num</c:v>
                </c:pt>
                <c:pt idx="128">
                  <c:v>ne</c:v>
                </c:pt>
                <c:pt idx="129">
                  <c:v>neg</c:v>
                </c:pt>
                <c:pt idx="130">
                  <c:v>neg_</c:v>
                </c:pt>
                <c:pt idx="131">
                  <c:v>nll_loss</c:v>
                </c:pt>
                <c:pt idx="132">
                  <c:v>nonzero</c:v>
                </c:pt>
                <c:pt idx="133">
                  <c:v>normal</c:v>
                </c:pt>
                <c:pt idx="134">
                  <c:v>ones</c:v>
                </c:pt>
                <c:pt idx="135">
                  <c:v>ones_like</c:v>
                </c:pt>
                <c:pt idx="136">
                  <c:v>outer</c:v>
                </c:pt>
                <c:pt idx="137">
                  <c:v>pad</c:v>
                </c:pt>
                <c:pt idx="138">
                  <c:v>polar</c:v>
                </c:pt>
                <c:pt idx="139">
                  <c:v>pow</c:v>
                </c:pt>
                <c:pt idx="140">
                  <c:v>pow_</c:v>
                </c:pt>
                <c:pt idx="141">
                  <c:v>prod</c:v>
                </c:pt>
                <c:pt idx="142">
                  <c:v>rand</c:v>
                </c:pt>
                <c:pt idx="143">
                  <c:v>rand_like</c:v>
                </c:pt>
                <c:pt idx="144">
                  <c:v>randn</c:v>
                </c:pt>
                <c:pt idx="145">
                  <c:v>randn_like</c:v>
                </c:pt>
                <c:pt idx="146">
                  <c:v>randperm</c:v>
                </c:pt>
                <c:pt idx="147">
                  <c:v>reciprocal</c:v>
                </c:pt>
                <c:pt idx="148">
                  <c:v>reciprocal_</c:v>
                </c:pt>
                <c:pt idx="149">
                  <c:v>relu</c:v>
                </c:pt>
                <c:pt idx="150">
                  <c:v>relu_</c:v>
                </c:pt>
                <c:pt idx="151">
                  <c:v>remainder</c:v>
                </c:pt>
                <c:pt idx="152">
                  <c:v>remainder_</c:v>
                </c:pt>
                <c:pt idx="153">
                  <c:v>repeat</c:v>
                </c:pt>
                <c:pt idx="154">
                  <c:v>repeat_interleave_self_int</c:v>
                </c:pt>
                <c:pt idx="155">
                  <c:v>repeat_interleave_self_tensor</c:v>
                </c:pt>
                <c:pt idx="156">
                  <c:v>repeat_interleave_tensor</c:v>
                </c:pt>
                <c:pt idx="157">
                  <c:v>resolve_conj</c:v>
                </c:pt>
                <c:pt idx="158">
                  <c:v>resolve_neg</c:v>
                </c:pt>
                <c:pt idx="159">
                  <c:v>rms_norm</c:v>
                </c:pt>
                <c:pt idx="160">
                  <c:v>rsqrt</c:v>
                </c:pt>
                <c:pt idx="161">
                  <c:v>rsqrt_</c:v>
                </c:pt>
                <c:pt idx="162">
                  <c:v>rwkv_ka_fusion</c:v>
                </c:pt>
                <c:pt idx="163">
                  <c:v>rwkv_mm_sparsity</c:v>
                </c:pt>
                <c:pt idx="164">
                  <c:v>scaled_dot_product_attention</c:v>
                </c:pt>
                <c:pt idx="165">
                  <c:v>scatter</c:v>
                </c:pt>
                <c:pt idx="166">
                  <c:v>scatter.reduce</c:v>
                </c:pt>
                <c:pt idx="167">
                  <c:v>select_scatter</c:v>
                </c:pt>
                <c:pt idx="168">
                  <c:v>sigmoid</c:v>
                </c:pt>
                <c:pt idx="169">
                  <c:v>sigmoid_</c:v>
                </c:pt>
                <c:pt idx="170">
                  <c:v>silu</c:v>
                </c:pt>
                <c:pt idx="171">
                  <c:v>silu_</c:v>
                </c:pt>
                <c:pt idx="172">
                  <c:v>silu_and_mul</c:v>
                </c:pt>
                <c:pt idx="173">
                  <c:v>sin</c:v>
                </c:pt>
                <c:pt idx="174">
                  <c:v>sin_</c:v>
                </c:pt>
                <c:pt idx="175">
                  <c:v>skip_layernorm</c:v>
                </c:pt>
                <c:pt idx="176">
                  <c:v>slice_scatter</c:v>
                </c:pt>
                <c:pt idx="177">
                  <c:v>softmax</c:v>
                </c:pt>
                <c:pt idx="178">
                  <c:v>softmax backward</c:v>
                </c:pt>
                <c:pt idx="179">
                  <c:v>softplus</c:v>
                </c:pt>
                <c:pt idx="180">
                  <c:v>sort</c:v>
                </c:pt>
                <c:pt idx="181">
                  <c:v>sqrt</c:v>
                </c:pt>
                <c:pt idx="182">
                  <c:v>sqrt_</c:v>
                </c:pt>
                <c:pt idx="183">
                  <c:v>stack</c:v>
                </c:pt>
                <c:pt idx="184">
                  <c:v>std</c:v>
                </c:pt>
                <c:pt idx="185">
                  <c:v>sub</c:v>
                </c:pt>
                <c:pt idx="186">
                  <c:v>sub_</c:v>
                </c:pt>
                <c:pt idx="187">
                  <c:v>sum</c:v>
                </c:pt>
                <c:pt idx="188">
                  <c:v>tanh</c:v>
                </c:pt>
                <c:pt idx="189">
                  <c:v>tanh_</c:v>
                </c:pt>
                <c:pt idx="190">
                  <c:v>threshold</c:v>
                </c:pt>
                <c:pt idx="191">
                  <c:v>tile</c:v>
                </c:pt>
                <c:pt idx="192">
                  <c:v>to</c:v>
                </c:pt>
                <c:pt idx="193">
                  <c:v>topk</c:v>
                </c:pt>
                <c:pt idx="194">
                  <c:v>torch.Tensor.contiguous</c:v>
                </c:pt>
                <c:pt idx="195">
                  <c:v>trace</c:v>
                </c:pt>
                <c:pt idx="196">
                  <c:v>triu</c:v>
                </c:pt>
                <c:pt idx="197">
                  <c:v>uniform_</c:v>
                </c:pt>
                <c:pt idx="198">
                  <c:v>unique</c:v>
                </c:pt>
                <c:pt idx="199">
                  <c:v>upsample_bicubic2d_aa</c:v>
                </c:pt>
                <c:pt idx="200">
                  <c:v>upsample_nearest2d</c:v>
                </c:pt>
                <c:pt idx="201">
                  <c:v>var_mean</c:v>
                </c:pt>
                <c:pt idx="202">
                  <c:v>vdot</c:v>
                </c:pt>
                <c:pt idx="203">
                  <c:v>vector_norm</c:v>
                </c:pt>
                <c:pt idx="204">
                  <c:v>vstack</c:v>
                </c:pt>
                <c:pt idx="205">
                  <c:v>weight_norm</c:v>
                </c:pt>
                <c:pt idx="206">
                  <c:v>where</c:v>
                </c:pt>
                <c:pt idx="207">
                  <c:v>zeros</c:v>
                </c:pt>
                <c:pt idx="208">
                  <c:v>zeros_like</c:v>
                </c:pt>
              </c:strCache>
            </c:strRef>
          </c:cat>
          <c:val>
            <c:numRef>
              <c:f>Speedup!$J$2:$J$210</c:f>
              <c:numCache>
                <c:formatCode>General</c:formatCode>
                <c:ptCount val="209"/>
                <c:pt idx="0">
                  <c:v>0.997223</c:v>
                </c:pt>
                <c:pt idx="1">
                  <c:v>1.00268733333333</c:v>
                </c:pt>
                <c:pt idx="2">
                  <c:v>0.978377</c:v>
                </c:pt>
                <c:pt idx="3">
                  <c:v>0.996831333333333</c:v>
                </c:pt>
                <c:pt idx="4">
                  <c:v>1.00620166666667</c:v>
                </c:pt>
                <c:pt idx="5">
                  <c:v>1.003634</c:v>
                </c:pt>
                <c:pt idx="6">
                  <c:v>1.06488133333333</c:v>
                </c:pt>
                <c:pt idx="7">
                  <c:v>1.16556566666667</c:v>
                </c:pt>
                <c:pt idx="8">
                  <c:v>1.222619</c:v>
                </c:pt>
                <c:pt idx="9">
                  <c:v>0.822673666666667</c:v>
                </c:pt>
                <c:pt idx="10">
                  <c:v>7.2856572</c:v>
                </c:pt>
                <c:pt idx="11">
                  <c:v>0.829984666666667</c:v>
                </c:pt>
                <c:pt idx="12">
                  <c:v>1.6349934</c:v>
                </c:pt>
                <c:pt idx="13">
                  <c:v>0.857870666666667</c:v>
                </c:pt>
                <c:pt idx="14">
                  <c:v>5.788087</c:v>
                </c:pt>
                <c:pt idx="15">
                  <c:v>1.766297</c:v>
                </c:pt>
                <c:pt idx="16">
                  <c:v>0.720586666666667</c:v>
                </c:pt>
                <c:pt idx="17">
                  <c:v>0.754388333333333</c:v>
                </c:pt>
                <c:pt idx="18">
                  <c:v>0.957425666666667</c:v>
                </c:pt>
                <c:pt idx="19">
                  <c:v>1.69746666666667</c:v>
                </c:pt>
                <c:pt idx="20">
                  <c:v>0.97993</c:v>
                </c:pt>
                <c:pt idx="21">
                  <c:v>0.995590333333333</c:v>
                </c:pt>
                <c:pt idx="22">
                  <c:v>1.0149105</c:v>
                </c:pt>
                <c:pt idx="23">
                  <c:v>0.984588</c:v>
                </c:pt>
                <c:pt idx="24">
                  <c:v>0.9861235</c:v>
                </c:pt>
                <c:pt idx="25">
                  <c:v>0.988733333333333</c:v>
                </c:pt>
                <c:pt idx="26">
                  <c:v>0.995622666666667</c:v>
                </c:pt>
                <c:pt idx="27">
                  <c:v>0.984957</c:v>
                </c:pt>
                <c:pt idx="28">
                  <c:v>1.11501366666667</c:v>
                </c:pt>
                <c:pt idx="29">
                  <c:v>1.126369</c:v>
                </c:pt>
                <c:pt idx="30">
                  <c:v>1.03031533333333</c:v>
                </c:pt>
                <c:pt idx="31">
                  <c:v>1.026429</c:v>
                </c:pt>
                <c:pt idx="32">
                  <c:v>1.01396866666667</c:v>
                </c:pt>
                <c:pt idx="33">
                  <c:v>1.01459033333333</c:v>
                </c:pt>
                <c:pt idx="34">
                  <c:v>0.991536666666667</c:v>
                </c:pt>
                <c:pt idx="35">
                  <c:v>0.997013666666667</c:v>
                </c:pt>
                <c:pt idx="36">
                  <c:v>0.885238666666667</c:v>
                </c:pt>
                <c:pt idx="37">
                  <c:v>0.971215</c:v>
                </c:pt>
                <c:pt idx="38">
                  <c:v>0.988285</c:v>
                </c:pt>
                <c:pt idx="39">
                  <c:v>3.00450666666667</c:v>
                </c:pt>
                <c:pt idx="40">
                  <c:v>1.83021733333333</c:v>
                </c:pt>
                <c:pt idx="41">
                  <c:v>2.6744264</c:v>
                </c:pt>
                <c:pt idx="42">
                  <c:v>2.6534458</c:v>
                </c:pt>
                <c:pt idx="43">
                  <c:v>3.1731364</c:v>
                </c:pt>
                <c:pt idx="44">
                  <c:v>1.09971133333333</c:v>
                </c:pt>
                <c:pt idx="45">
                  <c:v>1.04830266666667</c:v>
                </c:pt>
                <c:pt idx="46">
                  <c:v>0.442479</c:v>
                </c:pt>
                <c:pt idx="47">
                  <c:v>1.00521633333333</c:v>
                </c:pt>
                <c:pt idx="48">
                  <c:v>1.02543833333333</c:v>
                </c:pt>
                <c:pt idx="49">
                  <c:v>1.19585633333333</c:v>
                </c:pt>
                <c:pt idx="50">
                  <c:v>1.074224</c:v>
                </c:pt>
                <c:pt idx="51">
                  <c:v>1.04276166666667</c:v>
                </c:pt>
                <c:pt idx="52">
                  <c:v>1.011564</c:v>
                </c:pt>
                <c:pt idx="53">
                  <c:v>1.02731066666667</c:v>
                </c:pt>
                <c:pt idx="54">
                  <c:v>1.457967</c:v>
                </c:pt>
                <c:pt idx="55">
                  <c:v>0.993317333333333</c:v>
                </c:pt>
                <c:pt idx="56">
                  <c:v>0.995399</c:v>
                </c:pt>
                <c:pt idx="57">
                  <c:v>1.00445933333333</c:v>
                </c:pt>
                <c:pt idx="58">
                  <c:v>0.985438666666667</c:v>
                </c:pt>
                <c:pt idx="59">
                  <c:v>1.00227266666667</c:v>
                </c:pt>
                <c:pt idx="60">
                  <c:v>1.00284633333333</c:v>
                </c:pt>
                <c:pt idx="61">
                  <c:v>0.996780333333333</c:v>
                </c:pt>
                <c:pt idx="62">
                  <c:v>0.814171</c:v>
                </c:pt>
                <c:pt idx="63">
                  <c:v>1.293442</c:v>
                </c:pt>
                <c:pt idx="64">
                  <c:v>0.986006</c:v>
                </c:pt>
                <c:pt idx="65">
                  <c:v>0.974193333333333</c:v>
                </c:pt>
                <c:pt idx="66">
                  <c:v>288.088759</c:v>
                </c:pt>
                <c:pt idx="67">
                  <c:v>1.095078</c:v>
                </c:pt>
                <c:pt idx="68">
                  <c:v>1.0186325</c:v>
                </c:pt>
                <c:pt idx="69">
                  <c:v>1.001573</c:v>
                </c:pt>
                <c:pt idx="70">
                  <c:v>0.994028</c:v>
                </c:pt>
                <c:pt idx="71">
                  <c:v>0.975713333333333</c:v>
                </c:pt>
                <c:pt idx="72">
                  <c:v>3.01454633333333</c:v>
                </c:pt>
                <c:pt idx="73">
                  <c:v>1.30867933333333</c:v>
                </c:pt>
                <c:pt idx="74">
                  <c:v>0.58056</c:v>
                </c:pt>
                <c:pt idx="75">
                  <c:v>0.989791333333333</c:v>
                </c:pt>
                <c:pt idx="76">
                  <c:v>0.974782666666667</c:v>
                </c:pt>
                <c:pt idx="77">
                  <c:v>0.699606</c:v>
                </c:pt>
                <c:pt idx="78">
                  <c:v>1.00548333333333</c:v>
                </c:pt>
                <c:pt idx="79">
                  <c:v>1.58204066666667</c:v>
                </c:pt>
                <c:pt idx="80">
                  <c:v>0.970383666666667</c:v>
                </c:pt>
                <c:pt idx="81">
                  <c:v>0.69313</c:v>
                </c:pt>
                <c:pt idx="82">
                  <c:v>1.86839933333333</c:v>
                </c:pt>
                <c:pt idx="83">
                  <c:v>1.002599</c:v>
                </c:pt>
                <c:pt idx="84">
                  <c:v>1.11853966666667</c:v>
                </c:pt>
                <c:pt idx="85">
                  <c:v>1.40563466666667</c:v>
                </c:pt>
                <c:pt idx="86">
                  <c:v>0.3492865</c:v>
                </c:pt>
                <c:pt idx="87">
                  <c:v>0.3660105</c:v>
                </c:pt>
                <c:pt idx="88">
                  <c:v>2.63090433333333</c:v>
                </c:pt>
                <c:pt idx="89">
                  <c:v>7.969462</c:v>
                </c:pt>
                <c:pt idx="90">
                  <c:v>0.0657113333333333</c:v>
                </c:pt>
                <c:pt idx="91">
                  <c:v>2.50715266666667</c:v>
                </c:pt>
                <c:pt idx="92">
                  <c:v>9.98306</c:v>
                </c:pt>
                <c:pt idx="93">
                  <c:v>3.55111</c:v>
                </c:pt>
                <c:pt idx="94">
                  <c:v>3.9898885</c:v>
                </c:pt>
                <c:pt idx="95">
                  <c:v>2.043888</c:v>
                </c:pt>
                <c:pt idx="96">
                  <c:v>0.970021666666667</c:v>
                </c:pt>
                <c:pt idx="97">
                  <c:v>0.429138666666667</c:v>
                </c:pt>
                <c:pt idx="98">
                  <c:v>3.360118</c:v>
                </c:pt>
                <c:pt idx="99">
                  <c:v>1.00514333333333</c:v>
                </c:pt>
                <c:pt idx="100">
                  <c:v>1.00350733333333</c:v>
                </c:pt>
                <c:pt idx="101">
                  <c:v>0.985344</c:v>
                </c:pt>
                <c:pt idx="102">
                  <c:v>1.49769766666667</c:v>
                </c:pt>
                <c:pt idx="103">
                  <c:v>0.982243</c:v>
                </c:pt>
                <c:pt idx="104">
                  <c:v>1.04217766666667</c:v>
                </c:pt>
                <c:pt idx="105">
                  <c:v>0.732917</c:v>
                </c:pt>
                <c:pt idx="106">
                  <c:v>0.999584333333333</c:v>
                </c:pt>
                <c:pt idx="107">
                  <c:v>0.976009666666667</c:v>
                </c:pt>
                <c:pt idx="108">
                  <c:v>0.982935333333333</c:v>
                </c:pt>
                <c:pt idx="109">
                  <c:v>0.991963</c:v>
                </c:pt>
                <c:pt idx="110">
                  <c:v>3.27389233333333</c:v>
                </c:pt>
                <c:pt idx="111">
                  <c:v>0.997432</c:v>
                </c:pt>
                <c:pt idx="112">
                  <c:v>1.70214666666667</c:v>
                </c:pt>
                <c:pt idx="113">
                  <c:v>1.574177</c:v>
                </c:pt>
                <c:pt idx="114">
                  <c:v>0.773963333333333</c:v>
                </c:pt>
                <c:pt idx="115">
                  <c:v>1.03730433333333</c:v>
                </c:pt>
                <c:pt idx="116">
                  <c:v>0.952644666666667</c:v>
                </c:pt>
                <c:pt idx="117">
                  <c:v>1.00460633333333</c:v>
                </c:pt>
                <c:pt idx="118">
                  <c:v>0.767792333333333</c:v>
                </c:pt>
                <c:pt idx="119">
                  <c:v>0.810712666666667</c:v>
                </c:pt>
                <c:pt idx="120">
                  <c:v>0.994697</c:v>
                </c:pt>
                <c:pt idx="121">
                  <c:v>0.865431</c:v>
                </c:pt>
                <c:pt idx="122">
                  <c:v>1.657178</c:v>
                </c:pt>
                <c:pt idx="123">
                  <c:v>1.013192</c:v>
                </c:pt>
                <c:pt idx="124">
                  <c:v>1.002686</c:v>
                </c:pt>
                <c:pt idx="125">
                  <c:v>1.712822</c:v>
                </c:pt>
                <c:pt idx="126">
                  <c:v>1.02239766666667</c:v>
                </c:pt>
                <c:pt idx="127">
                  <c:v>1.00122866666667</c:v>
                </c:pt>
                <c:pt idx="128">
                  <c:v>0.99122</c:v>
                </c:pt>
                <c:pt idx="129">
                  <c:v>1.00481333333333</c:v>
                </c:pt>
                <c:pt idx="130">
                  <c:v>0.988572</c:v>
                </c:pt>
                <c:pt idx="131">
                  <c:v>0.815313</c:v>
                </c:pt>
                <c:pt idx="132">
                  <c:v>0.417961333333333</c:v>
                </c:pt>
                <c:pt idx="133">
                  <c:v>1.55982133333333</c:v>
                </c:pt>
                <c:pt idx="134">
                  <c:v>1.01377733333333</c:v>
                </c:pt>
                <c:pt idx="135">
                  <c:v>0.997718</c:v>
                </c:pt>
                <c:pt idx="136">
                  <c:v>1.11488466666667</c:v>
                </c:pt>
                <c:pt idx="137">
                  <c:v>1.07496233333333</c:v>
                </c:pt>
                <c:pt idx="138">
                  <c:v>0.955623</c:v>
                </c:pt>
                <c:pt idx="139">
                  <c:v>0.963532666666667</c:v>
                </c:pt>
                <c:pt idx="140">
                  <c:v>0.984884666666667</c:v>
                </c:pt>
                <c:pt idx="141">
                  <c:v>0.791212333333333</c:v>
                </c:pt>
                <c:pt idx="142">
                  <c:v>1.325573</c:v>
                </c:pt>
                <c:pt idx="143">
                  <c:v>1.30903466666667</c:v>
                </c:pt>
                <c:pt idx="144">
                  <c:v>0.905391333333333</c:v>
                </c:pt>
                <c:pt idx="145">
                  <c:v>0.906711333333333</c:v>
                </c:pt>
                <c:pt idx="146">
                  <c:v>0.576537</c:v>
                </c:pt>
                <c:pt idx="147">
                  <c:v>1.00518566666667</c:v>
                </c:pt>
                <c:pt idx="148">
                  <c:v>1.012158</c:v>
                </c:pt>
                <c:pt idx="149">
                  <c:v>1.01545333333333</c:v>
                </c:pt>
                <c:pt idx="150">
                  <c:v>0.994701</c:v>
                </c:pt>
                <c:pt idx="151">
                  <c:v>1.0144665</c:v>
                </c:pt>
                <c:pt idx="152">
                  <c:v>0.9929235</c:v>
                </c:pt>
                <c:pt idx="153">
                  <c:v>1.131568</c:v>
                </c:pt>
                <c:pt idx="154">
                  <c:v>1.13353733333333</c:v>
                </c:pt>
                <c:pt idx="155">
                  <c:v>0.0355083333333333</c:v>
                </c:pt>
                <c:pt idx="156">
                  <c:v>0.957148</c:v>
                </c:pt>
                <c:pt idx="157">
                  <c:v>0.462776</c:v>
                </c:pt>
                <c:pt idx="158">
                  <c:v>1.036356</c:v>
                </c:pt>
                <c:pt idx="159">
                  <c:v>4.43479666666667</c:v>
                </c:pt>
                <c:pt idx="160">
                  <c:v>1.00362833333333</c:v>
                </c:pt>
                <c:pt idx="161">
                  <c:v>0.994838666666667</c:v>
                </c:pt>
                <c:pt idx="162">
                  <c:v>2.60592933333333</c:v>
                </c:pt>
                <c:pt idx="163">
                  <c:v>1.83444466666667</c:v>
                </c:pt>
                <c:pt idx="164">
                  <c:v>0.9044445</c:v>
                </c:pt>
                <c:pt idx="165">
                  <c:v>1.23319333333333</c:v>
                </c:pt>
                <c:pt idx="166">
                  <c:v>1.2308275</c:v>
                </c:pt>
                <c:pt idx="167">
                  <c:v>1.24622733333333</c:v>
                </c:pt>
                <c:pt idx="168">
                  <c:v>1.01324866666667</c:v>
                </c:pt>
                <c:pt idx="169">
                  <c:v>1.01187966666667</c:v>
                </c:pt>
                <c:pt idx="170">
                  <c:v>0.986949</c:v>
                </c:pt>
                <c:pt idx="171">
                  <c:v>1.01133433333333</c:v>
                </c:pt>
                <c:pt idx="172">
                  <c:v>1.57920566666667</c:v>
                </c:pt>
                <c:pt idx="173">
                  <c:v>0.989787666666667</c:v>
                </c:pt>
                <c:pt idx="174">
                  <c:v>0.988210333333333</c:v>
                </c:pt>
                <c:pt idx="175">
                  <c:v>1.70826733333333</c:v>
                </c:pt>
                <c:pt idx="176">
                  <c:v>1.569525</c:v>
                </c:pt>
                <c:pt idx="177">
                  <c:v>2.56600133333333</c:v>
                </c:pt>
                <c:pt idx="178">
                  <c:v>1.72850833333333</c:v>
                </c:pt>
                <c:pt idx="179">
                  <c:v>1.16085933333333</c:v>
                </c:pt>
                <c:pt idx="180">
                  <c:v>0.0628584</c:v>
                </c:pt>
                <c:pt idx="181">
                  <c:v>1.02273633333333</c:v>
                </c:pt>
                <c:pt idx="182">
                  <c:v>1.018976</c:v>
                </c:pt>
                <c:pt idx="183">
                  <c:v>1.107851</c:v>
                </c:pt>
                <c:pt idx="184">
                  <c:v>0.858709666666667</c:v>
                </c:pt>
                <c:pt idx="185">
                  <c:v>1.0043</c:v>
                </c:pt>
                <c:pt idx="186">
                  <c:v>1.01249666666667</c:v>
                </c:pt>
                <c:pt idx="187">
                  <c:v>1.09361233333333</c:v>
                </c:pt>
                <c:pt idx="188">
                  <c:v>0.997072666666667</c:v>
                </c:pt>
                <c:pt idx="189">
                  <c:v>0.979456</c:v>
                </c:pt>
                <c:pt idx="190">
                  <c:v>0.985151333333333</c:v>
                </c:pt>
                <c:pt idx="191">
                  <c:v>1.130476</c:v>
                </c:pt>
                <c:pt idx="192">
                  <c:v>1.088179</c:v>
                </c:pt>
                <c:pt idx="193">
                  <c:v>2.62868266666667</c:v>
                </c:pt>
                <c:pt idx="194">
                  <c:v>1.0661612</c:v>
                </c:pt>
                <c:pt idx="195">
                  <c:v>1.3073808</c:v>
                </c:pt>
                <c:pt idx="196">
                  <c:v>0.997625</c:v>
                </c:pt>
                <c:pt idx="197">
                  <c:v>1.27137433333333</c:v>
                </c:pt>
                <c:pt idx="198">
                  <c:v>0.206991</c:v>
                </c:pt>
                <c:pt idx="199">
                  <c:v>1.971152</c:v>
                </c:pt>
                <c:pt idx="200">
                  <c:v>1.53948566666667</c:v>
                </c:pt>
                <c:pt idx="201">
                  <c:v>0.889626</c:v>
                </c:pt>
                <c:pt idx="202">
                  <c:v>0.6514205</c:v>
                </c:pt>
                <c:pt idx="203">
                  <c:v>1.08248966666667</c:v>
                </c:pt>
                <c:pt idx="204">
                  <c:v>1.097169</c:v>
                </c:pt>
                <c:pt idx="205">
                  <c:v>2.083485</c:v>
                </c:pt>
                <c:pt idx="206">
                  <c:v>1.00231033333333</c:v>
                </c:pt>
                <c:pt idx="207">
                  <c:v>1.00899066666667</c:v>
                </c:pt>
                <c:pt idx="208">
                  <c:v>1.00877966666667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75480400"/>
        <c:axId val="955472376"/>
      </c:barChart>
      <c:catAx>
        <c:axId val="575480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472376"/>
        <c:crosses val="autoZero"/>
        <c:auto val="1"/>
        <c:lblAlgn val="ctr"/>
        <c:lblOffset val="100"/>
        <c:noMultiLvlLbl val="0"/>
      </c:catAx>
      <c:valAx>
        <c:axId val="95547237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4804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27e220-a468-4126-8626-629d155365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641350</xdr:colOff>
      <xdr:row>220</xdr:row>
      <xdr:rowOff>67945</xdr:rowOff>
    </xdr:from>
    <xdr:to>
      <xdr:col>17</xdr:col>
      <xdr:colOff>374650</xdr:colOff>
      <xdr:row>252</xdr:row>
      <xdr:rowOff>2540</xdr:rowOff>
    </xdr:to>
    <xdr:graphicFrame>
      <xdr:nvGraphicFramePr>
        <xdr:cNvPr id="2" name="图表 1"/>
        <xdr:cNvGraphicFramePr/>
      </xdr:nvGraphicFramePr>
      <xdr:xfrm>
        <a:off x="641350" y="49882425"/>
        <a:ext cx="20837525" cy="7158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3"/>
  <sheetViews>
    <sheetView tabSelected="1" workbookViewId="0">
      <selection activeCell="L26" sqref="L26"/>
    </sheetView>
  </sheetViews>
  <sheetFormatPr defaultColWidth="11" defaultRowHeight="17.6" outlineLevelCol="7"/>
  <cols>
    <col min="1" max="1" width="15.5" customWidth="1"/>
    <col min="2" max="2" width="26" customWidth="1"/>
    <col min="3" max="3" width="6" customWidth="1"/>
    <col min="4" max="4" width="5.15833333333333" customWidth="1"/>
  </cols>
  <sheetData>
    <row r="1" ht="16" customHeight="1" spans="1:8">
      <c r="A1" s="12" t="s">
        <v>0</v>
      </c>
      <c r="B1" s="13"/>
      <c r="C1" s="13"/>
      <c r="D1" s="13"/>
      <c r="E1" s="13"/>
      <c r="F1" s="13"/>
      <c r="G1" s="13"/>
      <c r="H1" s="13"/>
    </row>
    <row r="2" ht="16" customHeight="1" spans="1:8">
      <c r="A2" s="13"/>
      <c r="B2" s="13"/>
      <c r="C2" s="13"/>
      <c r="D2" s="13"/>
      <c r="E2" s="13"/>
      <c r="F2" s="13"/>
      <c r="G2" s="13"/>
      <c r="H2" s="13"/>
    </row>
    <row r="3" ht="16" customHeight="1" spans="1:8">
      <c r="A3" s="13"/>
      <c r="B3" s="13"/>
      <c r="C3" s="13"/>
      <c r="D3" s="13"/>
      <c r="E3" s="13"/>
      <c r="F3" s="13"/>
      <c r="G3" s="13"/>
      <c r="H3" s="13"/>
    </row>
    <row r="4" ht="16" customHeight="1" spans="1:8">
      <c r="A4" s="13"/>
      <c r="B4" s="13"/>
      <c r="C4" s="13"/>
      <c r="D4" s="13"/>
      <c r="E4" s="13"/>
      <c r="F4" s="13"/>
      <c r="G4" s="13"/>
      <c r="H4" s="13"/>
    </row>
    <row r="5" ht="16" customHeight="1" spans="1:8">
      <c r="A5" s="13"/>
      <c r="B5" s="13"/>
      <c r="C5" s="13"/>
      <c r="D5" s="13"/>
      <c r="E5" s="13"/>
      <c r="F5" s="13"/>
      <c r="G5" s="13"/>
      <c r="H5" s="13"/>
    </row>
    <row r="6" ht="16" customHeight="1" spans="1:8">
      <c r="A6" s="13"/>
      <c r="B6" s="13"/>
      <c r="C6" s="13"/>
      <c r="D6" s="13"/>
      <c r="E6" s="13"/>
      <c r="F6" s="13"/>
      <c r="G6" s="13"/>
      <c r="H6" s="13"/>
    </row>
    <row r="7" ht="16" customHeight="1" spans="1:8">
      <c r="A7" s="13"/>
      <c r="B7" s="13"/>
      <c r="C7" s="13"/>
      <c r="D7" s="13"/>
      <c r="E7" s="13"/>
      <c r="F7" s="13"/>
      <c r="G7" s="13"/>
      <c r="H7" s="13"/>
    </row>
    <row r="8" ht="16" customHeight="1" spans="1:8">
      <c r="A8" s="13"/>
      <c r="B8" s="13"/>
      <c r="C8" s="13"/>
      <c r="D8" s="13"/>
      <c r="E8" s="13"/>
      <c r="F8" s="13"/>
      <c r="G8" s="13"/>
      <c r="H8" s="13"/>
    </row>
    <row r="9" ht="16" customHeight="1" spans="1:8">
      <c r="A9" s="13"/>
      <c r="B9" s="13"/>
      <c r="C9" s="13"/>
      <c r="D9" s="13"/>
      <c r="E9" s="13"/>
      <c r="F9" s="13"/>
      <c r="G9" s="13"/>
      <c r="H9" s="13"/>
    </row>
    <row r="10" ht="16" customHeight="1" spans="1:8">
      <c r="A10" s="13"/>
      <c r="B10" s="13"/>
      <c r="C10" s="13"/>
      <c r="D10" s="13"/>
      <c r="E10" s="13"/>
      <c r="F10" s="13"/>
      <c r="G10" s="13"/>
      <c r="H10" s="13"/>
    </row>
    <row r="11" ht="16" customHeight="1" spans="1:8">
      <c r="A11" s="13"/>
      <c r="B11" s="13"/>
      <c r="C11" s="13"/>
      <c r="D11" s="13"/>
      <c r="E11" s="13"/>
      <c r="F11" s="13"/>
      <c r="G11" s="13"/>
      <c r="H11" s="13"/>
    </row>
    <row r="12" ht="16" customHeight="1" spans="1:8">
      <c r="A12" s="13"/>
      <c r="B12" s="13"/>
      <c r="C12" s="13"/>
      <c r="D12" s="13"/>
      <c r="E12" s="13"/>
      <c r="F12" s="13"/>
      <c r="G12" s="13"/>
      <c r="H12" s="13"/>
    </row>
    <row r="13" ht="16" customHeight="1" spans="1:8">
      <c r="A13" s="13"/>
      <c r="B13" s="13"/>
      <c r="C13" s="13"/>
      <c r="D13" s="13"/>
      <c r="E13" s="13"/>
      <c r="F13" s="13"/>
      <c r="G13" s="13"/>
      <c r="H13" s="13"/>
    </row>
    <row r="14" ht="16" customHeight="1" spans="1:8">
      <c r="A14" s="13"/>
      <c r="B14" s="13"/>
      <c r="C14" s="13"/>
      <c r="D14" s="13"/>
      <c r="E14" s="13"/>
      <c r="F14" s="13"/>
      <c r="G14" s="13"/>
      <c r="H14" s="13"/>
    </row>
    <row r="15" ht="16" customHeight="1" spans="1:8">
      <c r="A15" s="13"/>
      <c r="B15" s="13"/>
      <c r="C15" s="13"/>
      <c r="D15" s="13"/>
      <c r="E15" s="13"/>
      <c r="F15" s="13"/>
      <c r="G15" s="13"/>
      <c r="H15" s="13"/>
    </row>
    <row r="16" ht="16" customHeight="1" spans="1:8">
      <c r="A16" s="13"/>
      <c r="B16" s="13"/>
      <c r="C16" s="13"/>
      <c r="D16" s="13"/>
      <c r="E16" s="13"/>
      <c r="F16" s="13"/>
      <c r="G16" s="13"/>
      <c r="H16" s="13"/>
    </row>
    <row r="17" ht="16" customHeight="1" spans="1:8">
      <c r="A17" s="13"/>
      <c r="B17" s="13"/>
      <c r="C17" s="13"/>
      <c r="D17" s="13"/>
      <c r="E17" s="13"/>
      <c r="F17" s="13"/>
      <c r="G17" s="13"/>
      <c r="H17" s="13"/>
    </row>
    <row r="18" ht="16" customHeight="1" spans="1:8">
      <c r="A18" s="13"/>
      <c r="B18" s="13"/>
      <c r="C18" s="13"/>
      <c r="D18" s="13"/>
      <c r="E18" s="13"/>
      <c r="F18" s="13"/>
      <c r="G18" s="13"/>
      <c r="H18" s="13"/>
    </row>
    <row r="19" ht="16" customHeight="1" spans="1:8">
      <c r="A19" s="13"/>
      <c r="B19" s="13"/>
      <c r="C19" s="13"/>
      <c r="D19" s="13"/>
      <c r="E19" s="13"/>
      <c r="F19" s="13"/>
      <c r="G19" s="13"/>
      <c r="H19" s="13"/>
    </row>
    <row r="20" ht="16" customHeight="1" spans="1:8">
      <c r="A20" s="13"/>
      <c r="B20" s="13"/>
      <c r="C20" s="13"/>
      <c r="D20" s="13"/>
      <c r="E20" s="13"/>
      <c r="F20" s="13"/>
      <c r="G20" s="13"/>
      <c r="H20" s="13"/>
    </row>
    <row r="21" ht="16" customHeight="1" spans="1:8">
      <c r="A21" s="13"/>
      <c r="B21" s="13"/>
      <c r="C21" s="13"/>
      <c r="D21" s="13"/>
      <c r="E21" s="13"/>
      <c r="F21" s="13"/>
      <c r="G21" s="13"/>
      <c r="H21" s="13"/>
    </row>
    <row r="22" ht="16" customHeight="1" spans="1:8">
      <c r="A22" s="13"/>
      <c r="B22" s="13"/>
      <c r="C22" s="13"/>
      <c r="D22" s="13"/>
      <c r="E22" s="13"/>
      <c r="F22" s="13"/>
      <c r="G22" s="13"/>
      <c r="H22" s="13"/>
    </row>
    <row r="23" ht="16" customHeight="1" spans="1:8">
      <c r="A23" s="13"/>
      <c r="B23" s="13"/>
      <c r="C23" s="13"/>
      <c r="D23" s="13"/>
      <c r="E23" s="13"/>
      <c r="F23" s="13"/>
      <c r="G23" s="13"/>
      <c r="H23" s="13"/>
    </row>
    <row r="24" ht="16" customHeight="1" spans="1:8">
      <c r="A24" s="13"/>
      <c r="B24" s="13"/>
      <c r="C24" s="13"/>
      <c r="D24" s="13"/>
      <c r="E24" s="13"/>
      <c r="F24" s="13"/>
      <c r="G24" s="13"/>
      <c r="H24" s="13"/>
    </row>
    <row r="25" ht="16" customHeight="1" spans="1:8">
      <c r="A25" s="13"/>
      <c r="B25" s="13"/>
      <c r="C25" s="13"/>
      <c r="D25" s="13"/>
      <c r="E25" s="13"/>
      <c r="F25" s="13"/>
      <c r="G25" s="13"/>
      <c r="H25" s="13"/>
    </row>
    <row r="26" ht="16" customHeight="1" spans="1:8">
      <c r="A26" s="13"/>
      <c r="B26" s="13"/>
      <c r="C26" s="13"/>
      <c r="D26" s="13"/>
      <c r="E26" s="13"/>
      <c r="F26" s="13"/>
      <c r="G26" s="13"/>
      <c r="H26" s="13"/>
    </row>
    <row r="27" ht="16" customHeight="1" spans="1:8">
      <c r="A27" s="13"/>
      <c r="B27" s="13"/>
      <c r="C27" s="13"/>
      <c r="D27" s="13"/>
      <c r="E27" s="13"/>
      <c r="F27" s="13"/>
      <c r="G27" s="13"/>
      <c r="H27" s="13"/>
    </row>
    <row r="28" ht="16" customHeight="1" spans="1:8">
      <c r="A28" s="13"/>
      <c r="B28" s="13"/>
      <c r="C28" s="13"/>
      <c r="D28" s="13"/>
      <c r="E28" s="13"/>
      <c r="F28" s="13"/>
      <c r="G28" s="13"/>
      <c r="H28" s="13"/>
    </row>
    <row r="29" ht="16" customHeight="1" spans="1:8">
      <c r="A29" s="13"/>
      <c r="B29" s="13"/>
      <c r="C29" s="13"/>
      <c r="D29" s="13"/>
      <c r="E29" s="13"/>
      <c r="F29" s="13"/>
      <c r="G29" s="13"/>
      <c r="H29" s="13"/>
    </row>
    <row r="30" ht="16" customHeight="1" spans="1:8">
      <c r="A30" s="13"/>
      <c r="B30" s="13"/>
      <c r="C30" s="13"/>
      <c r="D30" s="13"/>
      <c r="E30" s="13"/>
      <c r="F30" s="13"/>
      <c r="G30" s="13"/>
      <c r="H30" s="13"/>
    </row>
    <row r="31" ht="16" customHeight="1" spans="1:8">
      <c r="A31" s="13"/>
      <c r="B31" s="13"/>
      <c r="C31" s="13"/>
      <c r="D31" s="13"/>
      <c r="E31" s="13"/>
      <c r="F31" s="13"/>
      <c r="G31" s="13"/>
      <c r="H31" s="13"/>
    </row>
    <row r="32" ht="16" customHeight="1" spans="1:8">
      <c r="A32" s="13"/>
      <c r="B32" s="13"/>
      <c r="C32" s="13"/>
      <c r="D32" s="13"/>
      <c r="E32" s="13"/>
      <c r="F32" s="13"/>
      <c r="G32" s="13"/>
      <c r="H32" s="13"/>
    </row>
    <row r="33" ht="16" customHeight="1" spans="1:8">
      <c r="A33" s="13"/>
      <c r="B33" s="13"/>
      <c r="C33" s="13"/>
      <c r="D33" s="13"/>
      <c r="E33" s="13"/>
      <c r="F33" s="13"/>
      <c r="G33" s="13"/>
      <c r="H33" s="13"/>
    </row>
    <row r="34" ht="16" customHeight="1" spans="1:8">
      <c r="A34" s="13"/>
      <c r="B34" s="13"/>
      <c r="C34" s="13"/>
      <c r="D34" s="13"/>
      <c r="E34" s="13"/>
      <c r="F34" s="13"/>
      <c r="G34" s="13"/>
      <c r="H34" s="13"/>
    </row>
    <row r="35" ht="16" customHeight="1" spans="1:8">
      <c r="A35" s="13"/>
      <c r="B35" s="13"/>
      <c r="C35" s="13"/>
      <c r="D35" s="13"/>
      <c r="E35" s="13"/>
      <c r="F35" s="13"/>
      <c r="G35" s="13"/>
      <c r="H35" s="13"/>
    </row>
    <row r="36" ht="16" customHeight="1" spans="1:8">
      <c r="A36" s="13"/>
      <c r="B36" s="13"/>
      <c r="C36" s="13"/>
      <c r="D36" s="13"/>
      <c r="E36" s="13"/>
      <c r="F36" s="13"/>
      <c r="G36" s="13"/>
      <c r="H36" s="13"/>
    </row>
    <row r="37" ht="16" customHeight="1" spans="1:8">
      <c r="A37" s="13"/>
      <c r="B37" s="13"/>
      <c r="C37" s="13"/>
      <c r="D37" s="13"/>
      <c r="E37" s="13"/>
      <c r="F37" s="13"/>
      <c r="G37" s="13"/>
      <c r="H37" s="13"/>
    </row>
    <row r="38" ht="16" customHeight="1" spans="1:8">
      <c r="A38" s="13"/>
      <c r="B38" s="13"/>
      <c r="C38" s="13"/>
      <c r="D38" s="13"/>
      <c r="E38" s="13"/>
      <c r="F38" s="13"/>
      <c r="G38" s="13"/>
      <c r="H38" s="13"/>
    </row>
    <row r="39" ht="16" customHeight="1" spans="1:8">
      <c r="A39" s="13"/>
      <c r="B39" s="13"/>
      <c r="C39" s="13"/>
      <c r="D39" s="13"/>
      <c r="E39" s="13"/>
      <c r="F39" s="13"/>
      <c r="G39" s="13"/>
      <c r="H39" s="13"/>
    </row>
    <row r="40" ht="16" customHeight="1" spans="1:8">
      <c r="A40" s="13"/>
      <c r="B40" s="13"/>
      <c r="C40" s="13"/>
      <c r="D40" s="13"/>
      <c r="E40" s="13"/>
      <c r="F40" s="13"/>
      <c r="G40" s="13"/>
      <c r="H40" s="13"/>
    </row>
    <row r="41" ht="16" customHeight="1" spans="1:8">
      <c r="A41" s="14"/>
      <c r="B41" s="14"/>
      <c r="C41" s="14"/>
      <c r="D41" s="14"/>
      <c r="E41" s="14"/>
      <c r="F41" s="14"/>
      <c r="G41" s="14"/>
      <c r="H41" s="14"/>
    </row>
    <row r="42" ht="16" customHeight="1" spans="1:8">
      <c r="A42" s="14"/>
      <c r="B42" s="14"/>
      <c r="C42" s="14"/>
      <c r="D42" s="14"/>
      <c r="E42" s="14"/>
      <c r="F42" s="14"/>
      <c r="G42" s="14"/>
      <c r="H42" s="14"/>
    </row>
    <row r="43" ht="16" customHeight="1" spans="1:8">
      <c r="A43" s="14"/>
      <c r="B43" s="14"/>
      <c r="C43" s="14"/>
      <c r="D43" s="14"/>
      <c r="E43" s="14"/>
      <c r="F43" s="14"/>
      <c r="G43" s="14"/>
      <c r="H43" s="14"/>
    </row>
    <row r="44" ht="16" customHeight="1" spans="1:8">
      <c r="A44" s="14"/>
      <c r="B44" s="14"/>
      <c r="C44" s="14"/>
      <c r="D44" s="14"/>
      <c r="E44" s="14"/>
      <c r="F44" s="14"/>
      <c r="G44" s="14"/>
      <c r="H44" s="14"/>
    </row>
    <row r="45" ht="16" customHeight="1" spans="1:8">
      <c r="A45" s="14"/>
      <c r="B45" s="14"/>
      <c r="C45" s="14"/>
      <c r="D45" s="14"/>
      <c r="E45" s="14"/>
      <c r="F45" s="14"/>
      <c r="G45" s="14"/>
      <c r="H45" s="14"/>
    </row>
    <row r="46" ht="16" customHeight="1" spans="1:8">
      <c r="A46" s="14"/>
      <c r="B46" s="14"/>
      <c r="C46" s="14"/>
      <c r="D46" s="14"/>
      <c r="E46" s="14"/>
      <c r="F46" s="14"/>
      <c r="G46" s="14"/>
      <c r="H46" s="14"/>
    </row>
    <row r="47" ht="16" customHeight="1" spans="1:8">
      <c r="A47" s="14"/>
      <c r="B47" s="14"/>
      <c r="C47" s="14"/>
      <c r="D47" s="14"/>
      <c r="E47" s="14"/>
      <c r="F47" s="14"/>
      <c r="G47" s="14"/>
      <c r="H47" s="14"/>
    </row>
    <row r="48" ht="16" customHeight="1" spans="1:8">
      <c r="A48" s="14"/>
      <c r="B48" s="14"/>
      <c r="C48" s="14"/>
      <c r="D48" s="14"/>
      <c r="E48" s="14"/>
      <c r="F48" s="14"/>
      <c r="G48" s="14"/>
      <c r="H48" s="14"/>
    </row>
    <row r="49" ht="16" customHeight="1" spans="1:8">
      <c r="A49" s="14"/>
      <c r="B49" s="14"/>
      <c r="C49" s="14"/>
      <c r="D49" s="14"/>
      <c r="E49" s="14"/>
      <c r="F49" s="14"/>
      <c r="G49" s="14"/>
      <c r="H49" s="14"/>
    </row>
    <row r="50" ht="16" customHeight="1" spans="1:8">
      <c r="A50" s="14"/>
      <c r="B50" s="14"/>
      <c r="C50" s="14"/>
      <c r="D50" s="14"/>
      <c r="E50" s="14"/>
      <c r="F50" s="14"/>
      <c r="G50" s="14"/>
      <c r="H50" s="14"/>
    </row>
    <row r="51" ht="18" customHeight="1" spans="1:8">
      <c r="A51" s="14"/>
      <c r="B51" s="14"/>
      <c r="C51" s="14"/>
      <c r="D51" s="14"/>
      <c r="E51" s="14"/>
      <c r="F51" s="14"/>
      <c r="G51" s="14"/>
      <c r="H51" s="14"/>
    </row>
    <row r="52" ht="18" customHeight="1" spans="1:8">
      <c r="A52" s="14"/>
      <c r="B52" s="14"/>
      <c r="C52" s="14"/>
      <c r="D52" s="14"/>
      <c r="E52" s="14"/>
      <c r="F52" s="14"/>
      <c r="G52" s="14"/>
      <c r="H52" s="14"/>
    </row>
    <row r="53" ht="18" customHeight="1" spans="1:8">
      <c r="A53" s="14"/>
      <c r="B53" s="14"/>
      <c r="C53" s="14"/>
      <c r="D53" s="14"/>
      <c r="E53" s="14"/>
      <c r="F53" s="14"/>
      <c r="G53" s="14"/>
      <c r="H53" s="14"/>
    </row>
  </sheetData>
  <mergeCells count="1">
    <mergeCell ref="A1:H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"/>
  <sheetViews>
    <sheetView zoomScale="125" zoomScaleNormal="125" workbookViewId="0">
      <pane xSplit="2" ySplit="1" topLeftCell="C2" activePane="bottomRight" state="frozen"/>
      <selection/>
      <selection pane="topRight"/>
      <selection pane="bottomLeft"/>
      <selection pane="bottomRight" activeCell="K19" sqref="K19"/>
    </sheetView>
  </sheetViews>
  <sheetFormatPr defaultColWidth="11" defaultRowHeight="17.6"/>
  <cols>
    <col min="1" max="1" width="6" style="7" customWidth="1"/>
    <col min="2" max="2" width="29.3333333333333" customWidth="1"/>
    <col min="3" max="3" width="12" customWidth="1"/>
    <col min="4" max="4" width="13" customWidth="1"/>
    <col min="5" max="5" width="12" customWidth="1"/>
    <col min="6" max="7" width="10.3333333333333" customWidth="1"/>
    <col min="8" max="8" width="9.83333333333333" customWidth="1"/>
    <col min="9" max="9" width="10.6583333333333" customWidth="1"/>
    <col min="10" max="10" width="9.5" customWidth="1"/>
    <col min="11" max="11" width="10" customWidth="1"/>
  </cols>
  <sheetData>
    <row r="1" spans="1:11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</row>
    <row r="2" spans="1:10">
      <c r="A2" s="7">
        <f>ROW()-1</f>
        <v>1</v>
      </c>
      <c r="B2" s="9" t="s">
        <v>12</v>
      </c>
      <c r="C2" t="b">
        <v>0</v>
      </c>
      <c r="D2" t="b">
        <v>0</v>
      </c>
      <c r="E2" t="b">
        <v>0</v>
      </c>
      <c r="J2" t="b">
        <f>AND(C2:I2)</f>
        <v>0</v>
      </c>
    </row>
    <row r="3" spans="1:10">
      <c r="A3" s="7">
        <f t="shared" ref="A3:A79" si="0">ROW()-1</f>
        <v>2</v>
      </c>
      <c r="B3" s="9" t="s">
        <v>13</v>
      </c>
      <c r="C3" t="b">
        <v>0</v>
      </c>
      <c r="D3" t="b">
        <v>0</v>
      </c>
      <c r="E3" t="b">
        <v>0</v>
      </c>
      <c r="J3" t="b">
        <f t="shared" ref="J3:J79" si="1">AND(C3:I3)</f>
        <v>0</v>
      </c>
    </row>
    <row r="4" spans="1:10">
      <c r="A4" s="7">
        <f t="shared" si="0"/>
        <v>3</v>
      </c>
      <c r="B4" s="9" t="s">
        <v>14</v>
      </c>
      <c r="C4" t="b">
        <v>0</v>
      </c>
      <c r="D4" t="b">
        <v>0</v>
      </c>
      <c r="E4" t="b">
        <v>0</v>
      </c>
      <c r="J4" t="b">
        <f t="shared" si="1"/>
        <v>0</v>
      </c>
    </row>
    <row r="5" spans="1:10">
      <c r="A5" s="7">
        <f t="shared" si="0"/>
        <v>4</v>
      </c>
      <c r="B5" s="9" t="s">
        <v>15</v>
      </c>
      <c r="C5" t="b">
        <v>0</v>
      </c>
      <c r="D5" t="b">
        <v>0</v>
      </c>
      <c r="E5" t="b">
        <v>0</v>
      </c>
      <c r="J5" t="b">
        <f t="shared" si="1"/>
        <v>0</v>
      </c>
    </row>
    <row r="6" spans="1:10">
      <c r="A6" s="7">
        <f t="shared" si="0"/>
        <v>5</v>
      </c>
      <c r="B6" s="9" t="s">
        <v>16</v>
      </c>
      <c r="C6" t="b">
        <v>0</v>
      </c>
      <c r="D6" t="b">
        <v>0</v>
      </c>
      <c r="E6" t="b">
        <v>0</v>
      </c>
      <c r="J6" t="b">
        <f t="shared" si="1"/>
        <v>0</v>
      </c>
    </row>
    <row r="7" spans="1:10">
      <c r="A7" s="7">
        <f t="shared" si="0"/>
        <v>6</v>
      </c>
      <c r="B7" s="9" t="s">
        <v>17</v>
      </c>
      <c r="C7" t="b">
        <v>0</v>
      </c>
      <c r="D7" t="b">
        <v>0</v>
      </c>
      <c r="E7" t="b">
        <v>0</v>
      </c>
      <c r="J7" t="b">
        <f t="shared" si="1"/>
        <v>0</v>
      </c>
    </row>
    <row r="8" spans="1:10">
      <c r="A8" s="7">
        <f t="shared" si="0"/>
        <v>7</v>
      </c>
      <c r="B8" s="9" t="s">
        <v>18</v>
      </c>
      <c r="C8" t="b">
        <v>0</v>
      </c>
      <c r="D8" t="b">
        <v>0</v>
      </c>
      <c r="E8" t="b">
        <v>0</v>
      </c>
      <c r="J8" t="b">
        <f t="shared" si="1"/>
        <v>0</v>
      </c>
    </row>
    <row r="9" spans="1:10">
      <c r="A9" s="7">
        <v>8</v>
      </c>
      <c r="B9" s="10" t="s">
        <v>19</v>
      </c>
      <c r="C9" t="b">
        <v>0</v>
      </c>
      <c r="D9" t="b">
        <v>0</v>
      </c>
      <c r="E9" t="b">
        <v>0</v>
      </c>
      <c r="J9" t="b">
        <f t="shared" si="1"/>
        <v>0</v>
      </c>
    </row>
    <row r="10" spans="1:10">
      <c r="A10" s="7">
        <f t="shared" si="0"/>
        <v>9</v>
      </c>
      <c r="B10" s="9" t="s">
        <v>20</v>
      </c>
      <c r="C10" t="b">
        <v>0</v>
      </c>
      <c r="D10" t="b">
        <v>0</v>
      </c>
      <c r="E10" t="b">
        <v>0</v>
      </c>
      <c r="J10" t="b">
        <f t="shared" si="1"/>
        <v>0</v>
      </c>
    </row>
    <row r="11" spans="1:10">
      <c r="A11" s="7">
        <f t="shared" si="0"/>
        <v>10</v>
      </c>
      <c r="B11" s="9" t="s">
        <v>21</v>
      </c>
      <c r="C11" t="b">
        <v>0</v>
      </c>
      <c r="D11" t="b">
        <v>0</v>
      </c>
      <c r="E11" t="b">
        <v>0</v>
      </c>
      <c r="H11" t="b">
        <v>0</v>
      </c>
      <c r="J11" t="b">
        <f t="shared" si="1"/>
        <v>0</v>
      </c>
    </row>
    <row r="12" spans="1:10">
      <c r="A12" s="7">
        <f t="shared" si="0"/>
        <v>11</v>
      </c>
      <c r="B12" s="9" t="s">
        <v>22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J12" t="b">
        <f t="shared" si="1"/>
        <v>0</v>
      </c>
    </row>
    <row r="13" spans="1:10">
      <c r="A13" s="7">
        <f t="shared" si="0"/>
        <v>12</v>
      </c>
      <c r="B13" s="9" t="s">
        <v>23</v>
      </c>
      <c r="C13" t="b">
        <v>0</v>
      </c>
      <c r="D13" t="b">
        <v>0</v>
      </c>
      <c r="E13" t="b">
        <v>0</v>
      </c>
      <c r="J13" t="b">
        <f t="shared" si="1"/>
        <v>0</v>
      </c>
    </row>
    <row r="14" spans="1:10">
      <c r="A14" s="7">
        <f t="shared" si="0"/>
        <v>13</v>
      </c>
      <c r="B14" s="9" t="s">
        <v>24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f t="shared" si="1"/>
        <v>0</v>
      </c>
    </row>
    <row r="15" spans="1:10">
      <c r="A15" s="7">
        <f t="shared" si="0"/>
        <v>14</v>
      </c>
      <c r="B15" s="9" t="s">
        <v>25</v>
      </c>
      <c r="C15" t="b">
        <v>0</v>
      </c>
      <c r="D15" t="b">
        <v>0</v>
      </c>
      <c r="E15" t="b">
        <v>0</v>
      </c>
      <c r="H15" t="b">
        <v>0</v>
      </c>
      <c r="J15" t="b">
        <f t="shared" si="1"/>
        <v>0</v>
      </c>
    </row>
    <row r="16" spans="1:10">
      <c r="A16" s="7">
        <f t="shared" si="0"/>
        <v>15</v>
      </c>
      <c r="B16" s="9" t="s">
        <v>26</v>
      </c>
      <c r="C16" t="b">
        <v>0</v>
      </c>
      <c r="D16" t="b">
        <v>0</v>
      </c>
      <c r="E16" t="b">
        <v>0</v>
      </c>
      <c r="J16" t="b">
        <f t="shared" si="1"/>
        <v>0</v>
      </c>
    </row>
    <row r="17" spans="1:10">
      <c r="A17" s="7">
        <f t="shared" si="0"/>
        <v>16</v>
      </c>
      <c r="B17" s="9" t="s">
        <v>27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J17" t="b">
        <f t="shared" si="1"/>
        <v>0</v>
      </c>
    </row>
    <row r="18" spans="1:10">
      <c r="A18" s="7">
        <f t="shared" si="0"/>
        <v>17</v>
      </c>
      <c r="B18" s="9" t="s">
        <v>28</v>
      </c>
      <c r="C18" t="b">
        <v>0</v>
      </c>
      <c r="D18" t="b">
        <v>0</v>
      </c>
      <c r="E18" t="b">
        <v>0</v>
      </c>
      <c r="J18" t="b">
        <f t="shared" si="1"/>
        <v>0</v>
      </c>
    </row>
    <row r="19" spans="1:10">
      <c r="A19" s="7">
        <f t="shared" si="0"/>
        <v>18</v>
      </c>
      <c r="B19" s="9" t="s">
        <v>29</v>
      </c>
      <c r="C19" t="b">
        <v>0</v>
      </c>
      <c r="D19" t="b">
        <v>0</v>
      </c>
      <c r="E19" t="b">
        <v>0</v>
      </c>
      <c r="J19" t="b">
        <f t="shared" si="1"/>
        <v>0</v>
      </c>
    </row>
    <row r="20" spans="1:10">
      <c r="A20" s="7">
        <f t="shared" si="0"/>
        <v>19</v>
      </c>
      <c r="B20" s="10" t="s">
        <v>30</v>
      </c>
      <c r="C20" t="b">
        <v>0</v>
      </c>
      <c r="D20" t="b">
        <v>0</v>
      </c>
      <c r="E20" t="b">
        <v>0</v>
      </c>
      <c r="J20" t="b">
        <f t="shared" si="1"/>
        <v>0</v>
      </c>
    </row>
    <row r="21" spans="1:10">
      <c r="A21" s="7">
        <f t="shared" si="0"/>
        <v>20</v>
      </c>
      <c r="B21" s="10" t="s">
        <v>31</v>
      </c>
      <c r="C21" t="b">
        <v>0</v>
      </c>
      <c r="D21" t="b">
        <v>0</v>
      </c>
      <c r="E21" t="b">
        <v>0</v>
      </c>
      <c r="J21" t="b">
        <f t="shared" si="1"/>
        <v>0</v>
      </c>
    </row>
    <row r="22" spans="1:10">
      <c r="A22" s="7">
        <f t="shared" si="0"/>
        <v>21</v>
      </c>
      <c r="B22" s="9" t="s">
        <v>32</v>
      </c>
      <c r="C22" t="b">
        <v>0</v>
      </c>
      <c r="D22" t="b">
        <v>0</v>
      </c>
      <c r="E22" t="b">
        <v>0</v>
      </c>
      <c r="J22" t="b">
        <f t="shared" si="1"/>
        <v>0</v>
      </c>
    </row>
    <row r="23" spans="1:10">
      <c r="A23" s="7">
        <f t="shared" si="0"/>
        <v>22</v>
      </c>
      <c r="B23" s="9" t="s">
        <v>33</v>
      </c>
      <c r="F23" t="b">
        <v>0</v>
      </c>
      <c r="G23" t="b">
        <v>0</v>
      </c>
      <c r="H23" t="b">
        <v>0</v>
      </c>
      <c r="J23" t="b">
        <f t="shared" si="1"/>
        <v>0</v>
      </c>
    </row>
    <row r="24" spans="1:10">
      <c r="A24" s="7">
        <f t="shared" si="0"/>
        <v>23</v>
      </c>
      <c r="B24" s="9" t="s">
        <v>34</v>
      </c>
      <c r="F24" t="b">
        <v>0</v>
      </c>
      <c r="G24" t="b">
        <v>0</v>
      </c>
      <c r="H24" t="b">
        <v>0</v>
      </c>
      <c r="J24" t="b">
        <f t="shared" si="1"/>
        <v>0</v>
      </c>
    </row>
    <row r="25" spans="1:10">
      <c r="A25" s="7">
        <v>21</v>
      </c>
      <c r="B25" s="10" t="s">
        <v>35</v>
      </c>
      <c r="F25" t="b">
        <v>0</v>
      </c>
      <c r="G25" t="b">
        <v>0</v>
      </c>
      <c r="J25" t="b">
        <f t="shared" si="1"/>
        <v>0</v>
      </c>
    </row>
    <row r="26" spans="1:10">
      <c r="A26" s="7">
        <f t="shared" si="0"/>
        <v>25</v>
      </c>
      <c r="B26" s="9" t="s">
        <v>36</v>
      </c>
      <c r="F26" t="b">
        <v>0</v>
      </c>
      <c r="G26" t="b">
        <v>0</v>
      </c>
      <c r="H26" t="b">
        <v>0</v>
      </c>
      <c r="J26" t="b">
        <f t="shared" si="1"/>
        <v>0</v>
      </c>
    </row>
    <row r="27" spans="1:10">
      <c r="A27" s="7">
        <f t="shared" si="0"/>
        <v>26</v>
      </c>
      <c r="B27" s="9" t="s">
        <v>37</v>
      </c>
      <c r="F27" t="b">
        <v>0</v>
      </c>
      <c r="G27" t="b">
        <v>0</v>
      </c>
      <c r="H27" t="b">
        <v>0</v>
      </c>
      <c r="J27" t="b">
        <f t="shared" si="1"/>
        <v>0</v>
      </c>
    </row>
    <row r="28" spans="1:10">
      <c r="A28" s="7">
        <f t="shared" si="0"/>
        <v>27</v>
      </c>
      <c r="B28" s="9" t="s">
        <v>38</v>
      </c>
      <c r="F28" t="b">
        <v>0</v>
      </c>
      <c r="G28" t="b">
        <v>0</v>
      </c>
      <c r="H28" t="b">
        <v>0</v>
      </c>
      <c r="J28" t="b">
        <f t="shared" si="1"/>
        <v>0</v>
      </c>
    </row>
    <row r="29" spans="1:10">
      <c r="A29" s="7">
        <f t="shared" si="0"/>
        <v>28</v>
      </c>
      <c r="B29" s="9" t="s">
        <v>39</v>
      </c>
      <c r="F29" t="b">
        <v>0</v>
      </c>
      <c r="G29" t="b">
        <v>0</v>
      </c>
      <c r="H29" t="b">
        <v>0</v>
      </c>
      <c r="J29" t="b">
        <f t="shared" si="1"/>
        <v>0</v>
      </c>
    </row>
    <row r="30" spans="1:10">
      <c r="A30" s="7">
        <v>26</v>
      </c>
      <c r="B30" s="10" t="s">
        <v>40</v>
      </c>
      <c r="F30" t="b">
        <v>0</v>
      </c>
      <c r="G30" t="b">
        <v>0</v>
      </c>
      <c r="J30" t="b">
        <f t="shared" si="1"/>
        <v>0</v>
      </c>
    </row>
    <row r="31" spans="1:10">
      <c r="A31" s="7">
        <f t="shared" si="0"/>
        <v>30</v>
      </c>
      <c r="B31" s="9" t="s">
        <v>41</v>
      </c>
      <c r="C31" t="b">
        <v>0</v>
      </c>
      <c r="D31" t="b">
        <v>0</v>
      </c>
      <c r="E31" t="b">
        <v>0</v>
      </c>
      <c r="J31" t="b">
        <f t="shared" si="1"/>
        <v>0</v>
      </c>
    </row>
    <row r="32" spans="1:10">
      <c r="A32" s="7">
        <f t="shared" si="0"/>
        <v>31</v>
      </c>
      <c r="B32" s="9" t="s">
        <v>42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J32" t="b">
        <f t="shared" si="1"/>
        <v>0</v>
      </c>
    </row>
    <row r="33" spans="1:10">
      <c r="A33" s="7">
        <f t="shared" si="0"/>
        <v>32</v>
      </c>
      <c r="B33" s="9" t="s">
        <v>43</v>
      </c>
      <c r="C33" t="b">
        <v>0</v>
      </c>
      <c r="D33" t="b">
        <v>0</v>
      </c>
      <c r="E33" t="b">
        <v>0</v>
      </c>
      <c r="J33" t="b">
        <f t="shared" si="1"/>
        <v>0</v>
      </c>
    </row>
    <row r="34" spans="1:10">
      <c r="A34" s="7">
        <f t="shared" si="0"/>
        <v>33</v>
      </c>
      <c r="B34" s="9" t="s">
        <v>44</v>
      </c>
      <c r="C34" t="b">
        <v>0</v>
      </c>
      <c r="D34" t="b">
        <v>0</v>
      </c>
      <c r="E34" t="b">
        <v>0</v>
      </c>
      <c r="J34" t="b">
        <f t="shared" si="1"/>
        <v>0</v>
      </c>
    </row>
    <row r="35" spans="1:10">
      <c r="A35" s="7">
        <f t="shared" si="0"/>
        <v>34</v>
      </c>
      <c r="B35" s="9" t="s">
        <v>45</v>
      </c>
      <c r="C35" t="b">
        <v>0</v>
      </c>
      <c r="D35" t="b">
        <v>0</v>
      </c>
      <c r="E35" t="b">
        <v>0</v>
      </c>
      <c r="J35" t="b">
        <f t="shared" si="1"/>
        <v>0</v>
      </c>
    </row>
    <row r="36" spans="1:10">
      <c r="A36" s="7">
        <f t="shared" si="0"/>
        <v>35</v>
      </c>
      <c r="B36" s="9" t="s">
        <v>46</v>
      </c>
      <c r="C36" t="b">
        <v>0</v>
      </c>
      <c r="D36" t="b">
        <v>0</v>
      </c>
      <c r="E36" t="b">
        <v>0</v>
      </c>
      <c r="J36" t="b">
        <f t="shared" si="1"/>
        <v>0</v>
      </c>
    </row>
    <row r="37" spans="1:10">
      <c r="A37" s="7">
        <f t="shared" si="0"/>
        <v>36</v>
      </c>
      <c r="B37" s="9" t="s">
        <v>47</v>
      </c>
      <c r="C37" t="b">
        <v>0</v>
      </c>
      <c r="D37" t="b">
        <v>0</v>
      </c>
      <c r="E37" t="b">
        <v>0</v>
      </c>
      <c r="J37" t="b">
        <f t="shared" si="1"/>
        <v>0</v>
      </c>
    </row>
    <row r="38" spans="1:10">
      <c r="A38" s="7">
        <f t="shared" si="0"/>
        <v>37</v>
      </c>
      <c r="B38" s="9" t="s">
        <v>48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J38" t="b">
        <f t="shared" si="1"/>
        <v>0</v>
      </c>
    </row>
    <row r="39" spans="1:10">
      <c r="A39" s="7">
        <f t="shared" si="0"/>
        <v>38</v>
      </c>
      <c r="B39" s="9" t="s">
        <v>49</v>
      </c>
      <c r="C39" t="b">
        <v>0</v>
      </c>
      <c r="E39" t="b">
        <v>0</v>
      </c>
      <c r="J39" t="b">
        <f t="shared" si="1"/>
        <v>0</v>
      </c>
    </row>
    <row r="40" spans="1:10">
      <c r="A40" s="7">
        <f t="shared" si="0"/>
        <v>39</v>
      </c>
      <c r="B40" s="9" t="s">
        <v>50</v>
      </c>
      <c r="C40" t="b">
        <v>0</v>
      </c>
      <c r="E40" t="b">
        <v>0</v>
      </c>
      <c r="J40" t="b">
        <f t="shared" si="1"/>
        <v>0</v>
      </c>
    </row>
    <row r="41" spans="1:10">
      <c r="A41" s="7">
        <f t="shared" si="0"/>
        <v>40</v>
      </c>
      <c r="B41" s="9" t="s">
        <v>51</v>
      </c>
      <c r="C41" t="b">
        <v>0</v>
      </c>
      <c r="E41" t="b">
        <v>0</v>
      </c>
      <c r="J41" t="b">
        <f t="shared" si="1"/>
        <v>0</v>
      </c>
    </row>
    <row r="42" spans="1:10">
      <c r="A42" s="7">
        <f t="shared" si="0"/>
        <v>41</v>
      </c>
      <c r="B42" s="9" t="s">
        <v>52</v>
      </c>
      <c r="C42" t="b">
        <v>0</v>
      </c>
      <c r="D42" t="b">
        <v>0</v>
      </c>
      <c r="E42" t="b">
        <v>0</v>
      </c>
      <c r="J42" t="b">
        <f t="shared" si="1"/>
        <v>0</v>
      </c>
    </row>
    <row r="43" spans="1:10">
      <c r="A43" s="7">
        <f t="shared" si="0"/>
        <v>42</v>
      </c>
      <c r="B43" s="9" t="s">
        <v>53</v>
      </c>
      <c r="C43" t="b">
        <v>0</v>
      </c>
      <c r="D43" t="b">
        <v>0</v>
      </c>
      <c r="E43" t="b">
        <v>0</v>
      </c>
      <c r="J43" t="b">
        <f t="shared" si="1"/>
        <v>0</v>
      </c>
    </row>
    <row r="44" spans="1:10">
      <c r="A44" s="7">
        <f t="shared" si="0"/>
        <v>43</v>
      </c>
      <c r="B44" s="9" t="s">
        <v>54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J44" t="b">
        <f t="shared" si="1"/>
        <v>0</v>
      </c>
    </row>
    <row r="45" spans="1:10">
      <c r="A45" s="7">
        <f t="shared" si="0"/>
        <v>44</v>
      </c>
      <c r="B45" s="9" t="s">
        <v>55</v>
      </c>
      <c r="C45" t="b">
        <v>0</v>
      </c>
      <c r="D45" t="b">
        <v>0</v>
      </c>
      <c r="E45" t="b">
        <v>0</v>
      </c>
      <c r="J45" t="b">
        <f t="shared" si="1"/>
        <v>0</v>
      </c>
    </row>
    <row r="46" spans="1:10">
      <c r="A46" s="7">
        <f t="shared" si="0"/>
        <v>45</v>
      </c>
      <c r="B46" s="9" t="s">
        <v>56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J46" t="b">
        <f t="shared" si="1"/>
        <v>0</v>
      </c>
    </row>
    <row r="47" spans="1:10">
      <c r="A47" s="7">
        <f t="shared" si="0"/>
        <v>46</v>
      </c>
      <c r="B47" s="9" t="s">
        <v>57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J47" t="b">
        <f t="shared" si="1"/>
        <v>0</v>
      </c>
    </row>
    <row r="48" spans="1:10">
      <c r="A48" s="7">
        <f t="shared" si="0"/>
        <v>47</v>
      </c>
      <c r="B48" s="9" t="s">
        <v>58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J48" t="b">
        <f t="shared" si="1"/>
        <v>0</v>
      </c>
    </row>
    <row r="49" spans="1:10">
      <c r="A49" s="7">
        <f t="shared" si="0"/>
        <v>48</v>
      </c>
      <c r="B49" s="9" t="s">
        <v>59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J49" t="b">
        <f t="shared" si="1"/>
        <v>0</v>
      </c>
    </row>
    <row r="50" spans="1:10">
      <c r="A50" s="7">
        <f t="shared" si="0"/>
        <v>49</v>
      </c>
      <c r="B50" s="9" t="s">
        <v>60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J50" t="b">
        <f t="shared" si="1"/>
        <v>0</v>
      </c>
    </row>
    <row r="51" spans="1:10">
      <c r="A51" s="7">
        <f t="shared" si="0"/>
        <v>50</v>
      </c>
      <c r="B51" s="9" t="s">
        <v>61</v>
      </c>
      <c r="C51" t="b">
        <v>0</v>
      </c>
      <c r="D51" t="b">
        <v>0</v>
      </c>
      <c r="E51" t="b">
        <v>0</v>
      </c>
      <c r="J51" t="b">
        <f t="shared" si="1"/>
        <v>0</v>
      </c>
    </row>
    <row r="52" spans="1:10">
      <c r="A52" s="7">
        <f t="shared" si="0"/>
        <v>51</v>
      </c>
      <c r="B52" s="9" t="s">
        <v>62</v>
      </c>
      <c r="C52" t="b">
        <v>0</v>
      </c>
      <c r="D52" t="b">
        <v>0</v>
      </c>
      <c r="E52" t="b">
        <v>0</v>
      </c>
      <c r="J52" t="b">
        <f t="shared" si="1"/>
        <v>0</v>
      </c>
    </row>
    <row r="53" spans="1:10">
      <c r="A53" s="7">
        <f t="shared" si="0"/>
        <v>52</v>
      </c>
      <c r="B53" s="9" t="s">
        <v>63</v>
      </c>
      <c r="C53" t="b">
        <v>0</v>
      </c>
      <c r="D53" t="b">
        <v>0</v>
      </c>
      <c r="E53" t="b">
        <v>0</v>
      </c>
      <c r="J53" t="b">
        <f t="shared" si="1"/>
        <v>0</v>
      </c>
    </row>
    <row r="54" spans="1:10">
      <c r="A54" s="7">
        <f t="shared" si="0"/>
        <v>53</v>
      </c>
      <c r="B54" s="9" t="s">
        <v>64</v>
      </c>
      <c r="C54" t="b">
        <v>0</v>
      </c>
      <c r="D54" t="b">
        <v>0</v>
      </c>
      <c r="E54" t="b">
        <v>0</v>
      </c>
      <c r="J54" t="b">
        <f t="shared" si="1"/>
        <v>0</v>
      </c>
    </row>
    <row r="55" spans="1:10">
      <c r="A55" s="7">
        <f t="shared" si="0"/>
        <v>54</v>
      </c>
      <c r="B55" s="9" t="s">
        <v>65</v>
      </c>
      <c r="C55" t="b">
        <v>0</v>
      </c>
      <c r="D55" t="b">
        <v>0</v>
      </c>
      <c r="E55" t="b">
        <v>0</v>
      </c>
      <c r="J55" t="b">
        <f t="shared" si="1"/>
        <v>0</v>
      </c>
    </row>
    <row r="56" spans="1:10">
      <c r="A56" s="7">
        <f t="shared" si="0"/>
        <v>55</v>
      </c>
      <c r="B56" s="9" t="s">
        <v>66</v>
      </c>
      <c r="C56" t="b">
        <v>0</v>
      </c>
      <c r="D56" t="b">
        <v>0</v>
      </c>
      <c r="E56" t="b">
        <v>0</v>
      </c>
      <c r="J56" t="b">
        <f t="shared" si="1"/>
        <v>0</v>
      </c>
    </row>
    <row r="57" spans="1:10">
      <c r="A57" s="7">
        <f t="shared" si="0"/>
        <v>56</v>
      </c>
      <c r="B57" s="9" t="s">
        <v>67</v>
      </c>
      <c r="C57" t="b">
        <v>0</v>
      </c>
      <c r="D57" t="b">
        <v>0</v>
      </c>
      <c r="E57" t="b">
        <v>0</v>
      </c>
      <c r="J57" t="b">
        <f t="shared" si="1"/>
        <v>0</v>
      </c>
    </row>
    <row r="58" spans="1:10">
      <c r="A58" s="7">
        <f t="shared" si="0"/>
        <v>57</v>
      </c>
      <c r="B58" s="9" t="s">
        <v>68</v>
      </c>
      <c r="C58" t="b">
        <v>0</v>
      </c>
      <c r="D58" t="b">
        <v>0</v>
      </c>
      <c r="E58" t="b">
        <v>0</v>
      </c>
      <c r="J58" t="b">
        <f t="shared" si="1"/>
        <v>0</v>
      </c>
    </row>
    <row r="59" spans="1:10">
      <c r="A59" s="7">
        <f t="shared" si="0"/>
        <v>58</v>
      </c>
      <c r="B59" s="9" t="s">
        <v>69</v>
      </c>
      <c r="C59" t="b">
        <v>0</v>
      </c>
      <c r="D59" t="b">
        <v>0</v>
      </c>
      <c r="E59" t="b">
        <v>0</v>
      </c>
      <c r="J59" t="b">
        <f t="shared" si="1"/>
        <v>0</v>
      </c>
    </row>
    <row r="60" spans="1:10">
      <c r="A60" s="7">
        <f t="shared" si="0"/>
        <v>59</v>
      </c>
      <c r="B60" s="9" t="s">
        <v>70</v>
      </c>
      <c r="C60" t="b">
        <v>0</v>
      </c>
      <c r="D60" t="b">
        <v>0</v>
      </c>
      <c r="E60" t="b">
        <v>0</v>
      </c>
      <c r="J60" t="b">
        <f t="shared" si="1"/>
        <v>0</v>
      </c>
    </row>
    <row r="61" spans="1:10">
      <c r="A61" s="7">
        <f t="shared" si="0"/>
        <v>60</v>
      </c>
      <c r="B61" s="9" t="s">
        <v>71</v>
      </c>
      <c r="C61" t="b">
        <v>0</v>
      </c>
      <c r="D61" t="b">
        <v>0</v>
      </c>
      <c r="E61" t="b">
        <v>0</v>
      </c>
      <c r="J61" t="b">
        <f t="shared" si="1"/>
        <v>0</v>
      </c>
    </row>
    <row r="62" spans="1:10">
      <c r="A62" s="7">
        <f t="shared" si="0"/>
        <v>61</v>
      </c>
      <c r="B62" s="9" t="s">
        <v>72</v>
      </c>
      <c r="C62" t="b">
        <v>0</v>
      </c>
      <c r="D62" t="b">
        <v>0</v>
      </c>
      <c r="E62" t="b">
        <v>0</v>
      </c>
      <c r="J62" t="b">
        <f t="shared" si="1"/>
        <v>0</v>
      </c>
    </row>
    <row r="63" spans="1:10">
      <c r="A63" s="7">
        <f t="shared" si="0"/>
        <v>62</v>
      </c>
      <c r="B63" s="9" t="s">
        <v>73</v>
      </c>
      <c r="C63" t="b">
        <v>0</v>
      </c>
      <c r="D63" t="b">
        <v>0</v>
      </c>
      <c r="E63" t="b">
        <v>0</v>
      </c>
      <c r="J63" t="b">
        <f t="shared" si="1"/>
        <v>0</v>
      </c>
    </row>
    <row r="64" spans="1:10">
      <c r="A64" s="7">
        <f t="shared" si="0"/>
        <v>63</v>
      </c>
      <c r="B64" s="9" t="s">
        <v>74</v>
      </c>
      <c r="C64" t="b">
        <v>0</v>
      </c>
      <c r="D64" t="b">
        <v>0</v>
      </c>
      <c r="E64" t="b">
        <v>0</v>
      </c>
      <c r="J64" t="b">
        <f t="shared" si="1"/>
        <v>0</v>
      </c>
    </row>
    <row r="65" spans="1:10">
      <c r="A65" s="7">
        <f t="shared" si="0"/>
        <v>64</v>
      </c>
      <c r="B65" s="9" t="s">
        <v>75</v>
      </c>
      <c r="C65" t="b">
        <v>0</v>
      </c>
      <c r="D65" t="b">
        <v>0</v>
      </c>
      <c r="E65" t="b">
        <v>0</v>
      </c>
      <c r="J65" t="b">
        <f t="shared" si="1"/>
        <v>0</v>
      </c>
    </row>
    <row r="66" spans="1:10">
      <c r="A66" s="7">
        <f t="shared" si="0"/>
        <v>65</v>
      </c>
      <c r="B66" s="9" t="s">
        <v>76</v>
      </c>
      <c r="C66" t="b">
        <v>0</v>
      </c>
      <c r="D66" t="b">
        <v>0</v>
      </c>
      <c r="E66" t="b">
        <v>0</v>
      </c>
      <c r="J66" t="b">
        <f t="shared" si="1"/>
        <v>0</v>
      </c>
    </row>
    <row r="67" spans="1:10">
      <c r="A67" s="7">
        <f t="shared" si="0"/>
        <v>66</v>
      </c>
      <c r="B67" s="9" t="s">
        <v>77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J67" t="b">
        <f t="shared" si="1"/>
        <v>0</v>
      </c>
    </row>
    <row r="68" spans="1:10">
      <c r="A68" s="7">
        <f t="shared" si="0"/>
        <v>67</v>
      </c>
      <c r="B68" s="9" t="s">
        <v>78</v>
      </c>
      <c r="C68" t="b">
        <v>0</v>
      </c>
      <c r="D68" t="b">
        <v>0</v>
      </c>
      <c r="E68" t="b">
        <v>0</v>
      </c>
      <c r="J68" t="b">
        <f t="shared" si="1"/>
        <v>0</v>
      </c>
    </row>
    <row r="69" spans="1:10">
      <c r="A69" s="7">
        <f t="shared" si="0"/>
        <v>68</v>
      </c>
      <c r="B69" s="9" t="s">
        <v>79</v>
      </c>
      <c r="C69" t="b">
        <v>0</v>
      </c>
      <c r="D69" t="b">
        <v>0</v>
      </c>
      <c r="E69" t="b">
        <v>0</v>
      </c>
      <c r="J69" t="b">
        <f t="shared" si="1"/>
        <v>0</v>
      </c>
    </row>
    <row r="70" spans="1:10">
      <c r="A70" s="7">
        <f t="shared" si="0"/>
        <v>69</v>
      </c>
      <c r="B70" s="9" t="s">
        <v>80</v>
      </c>
      <c r="C70" t="b">
        <v>0</v>
      </c>
      <c r="D70" t="b">
        <v>0</v>
      </c>
      <c r="J70" t="b">
        <f t="shared" si="1"/>
        <v>0</v>
      </c>
    </row>
    <row r="71" spans="1:10">
      <c r="A71" s="7">
        <f t="shared" si="0"/>
        <v>70</v>
      </c>
      <c r="B71" s="9" t="s">
        <v>81</v>
      </c>
      <c r="C71" t="b">
        <v>0</v>
      </c>
      <c r="D71" t="b">
        <v>0</v>
      </c>
      <c r="J71" t="b">
        <f t="shared" si="1"/>
        <v>0</v>
      </c>
    </row>
    <row r="72" spans="1:10">
      <c r="A72" s="7">
        <f t="shared" si="0"/>
        <v>71</v>
      </c>
      <c r="B72" s="9" t="s">
        <v>82</v>
      </c>
      <c r="D72" t="b">
        <v>0</v>
      </c>
      <c r="J72" t="b">
        <f t="shared" si="1"/>
        <v>0</v>
      </c>
    </row>
    <row r="73" spans="1:10">
      <c r="A73" s="7">
        <f t="shared" si="0"/>
        <v>72</v>
      </c>
      <c r="B73" s="9" t="s">
        <v>83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J73" t="b">
        <f t="shared" si="1"/>
        <v>0</v>
      </c>
    </row>
    <row r="74" spans="1:10">
      <c r="A74" s="7">
        <f t="shared" si="0"/>
        <v>73</v>
      </c>
      <c r="B74" s="9" t="s">
        <v>84</v>
      </c>
      <c r="E74" t="b">
        <v>0</v>
      </c>
      <c r="F74" t="b">
        <v>0</v>
      </c>
      <c r="G74" t="b">
        <v>0</v>
      </c>
      <c r="J74" t="b">
        <f t="shared" si="1"/>
        <v>0</v>
      </c>
    </row>
    <row r="75" spans="1:10">
      <c r="A75" s="7">
        <f t="shared" si="0"/>
        <v>74</v>
      </c>
      <c r="B75" s="9" t="s">
        <v>85</v>
      </c>
      <c r="E75" t="b">
        <v>0</v>
      </c>
      <c r="F75" t="b">
        <v>0</v>
      </c>
      <c r="G75" t="b">
        <v>0</v>
      </c>
      <c r="J75" t="b">
        <f t="shared" si="1"/>
        <v>0</v>
      </c>
    </row>
    <row r="76" spans="1:10">
      <c r="A76" s="7">
        <f t="shared" si="0"/>
        <v>75</v>
      </c>
      <c r="B76" s="9" t="s">
        <v>86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J76" t="b">
        <f t="shared" si="1"/>
        <v>0</v>
      </c>
    </row>
    <row r="77" spans="1:10">
      <c r="A77" s="7">
        <f t="shared" si="0"/>
        <v>76</v>
      </c>
      <c r="B77" s="9" t="s">
        <v>87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J77" t="b">
        <f t="shared" si="1"/>
        <v>0</v>
      </c>
    </row>
    <row r="78" spans="1:10">
      <c r="A78" s="7">
        <f t="shared" si="0"/>
        <v>77</v>
      </c>
      <c r="B78" s="9" t="s">
        <v>88</v>
      </c>
      <c r="C78" t="b">
        <v>0</v>
      </c>
      <c r="D78" t="b">
        <v>0</v>
      </c>
      <c r="E78" t="b">
        <v>0</v>
      </c>
      <c r="J78" t="b">
        <f t="shared" si="1"/>
        <v>0</v>
      </c>
    </row>
    <row r="79" spans="1:10">
      <c r="A79" s="7">
        <f t="shared" si="0"/>
        <v>78</v>
      </c>
      <c r="B79" s="9" t="s">
        <v>89</v>
      </c>
      <c r="C79" t="b">
        <v>0</v>
      </c>
      <c r="D79" t="b">
        <v>0</v>
      </c>
      <c r="E79" t="b">
        <v>0</v>
      </c>
      <c r="J79" t="b">
        <f t="shared" si="1"/>
        <v>0</v>
      </c>
    </row>
    <row r="80" spans="1:10">
      <c r="A80" s="7">
        <f t="shared" ref="A80:A147" si="2">ROW()-1</f>
        <v>79</v>
      </c>
      <c r="B80" s="9" t="s">
        <v>90</v>
      </c>
      <c r="C80" t="b">
        <v>0</v>
      </c>
      <c r="D80" t="b">
        <v>0</v>
      </c>
      <c r="E80" t="b">
        <v>0</v>
      </c>
      <c r="J80" t="b">
        <f t="shared" ref="J80:J147" si="3">AND(C80:I80)</f>
        <v>0</v>
      </c>
    </row>
    <row r="81" spans="1:10">
      <c r="A81" s="7">
        <f t="shared" si="2"/>
        <v>80</v>
      </c>
      <c r="B81" s="9" t="s">
        <v>91</v>
      </c>
      <c r="C81" t="b">
        <v>0</v>
      </c>
      <c r="D81" t="b">
        <v>0</v>
      </c>
      <c r="E81" t="b">
        <v>0</v>
      </c>
      <c r="J81" t="b">
        <f t="shared" si="3"/>
        <v>0</v>
      </c>
    </row>
    <row r="82" spans="1:10">
      <c r="A82" s="7">
        <f t="shared" si="2"/>
        <v>81</v>
      </c>
      <c r="B82" s="9" t="s">
        <v>92</v>
      </c>
      <c r="C82" t="b">
        <v>0</v>
      </c>
      <c r="D82" t="b">
        <v>0</v>
      </c>
      <c r="E82" t="b">
        <v>0</v>
      </c>
      <c r="J82" t="b">
        <f t="shared" si="3"/>
        <v>0</v>
      </c>
    </row>
    <row r="83" spans="1:10">
      <c r="A83" s="7">
        <f t="shared" si="2"/>
        <v>82</v>
      </c>
      <c r="B83" s="9" t="s">
        <v>93</v>
      </c>
      <c r="C83" t="b">
        <v>0</v>
      </c>
      <c r="D83" t="b">
        <v>0</v>
      </c>
      <c r="E83" t="b">
        <v>0</v>
      </c>
      <c r="J83" t="b">
        <f t="shared" si="3"/>
        <v>0</v>
      </c>
    </row>
    <row r="84" spans="1:10">
      <c r="A84" s="7">
        <f t="shared" si="2"/>
        <v>83</v>
      </c>
      <c r="B84" s="9" t="s">
        <v>94</v>
      </c>
      <c r="C84" t="b">
        <v>0</v>
      </c>
      <c r="J84" t="b">
        <f t="shared" si="3"/>
        <v>0</v>
      </c>
    </row>
    <row r="85" spans="1:10">
      <c r="A85" s="7">
        <f t="shared" si="2"/>
        <v>84</v>
      </c>
      <c r="B85" s="9" t="s">
        <v>95</v>
      </c>
      <c r="C85" t="b">
        <v>0</v>
      </c>
      <c r="D85" t="b">
        <v>0</v>
      </c>
      <c r="E85" t="b">
        <v>0</v>
      </c>
      <c r="J85" t="b">
        <f t="shared" si="3"/>
        <v>0</v>
      </c>
    </row>
    <row r="86" spans="1:10">
      <c r="A86" s="7">
        <f t="shared" si="2"/>
        <v>85</v>
      </c>
      <c r="B86" s="9" t="s">
        <v>96</v>
      </c>
      <c r="C86" t="b">
        <v>0</v>
      </c>
      <c r="D86" t="b">
        <v>0</v>
      </c>
      <c r="E86" t="b">
        <v>0</v>
      </c>
      <c r="J86" t="b">
        <f t="shared" si="3"/>
        <v>0</v>
      </c>
    </row>
    <row r="87" spans="1:10">
      <c r="A87" s="7">
        <f t="shared" si="2"/>
        <v>86</v>
      </c>
      <c r="B87" s="9" t="s">
        <v>97</v>
      </c>
      <c r="C87" t="b">
        <v>0</v>
      </c>
      <c r="D87" t="b">
        <v>0</v>
      </c>
      <c r="E87" t="b">
        <v>0</v>
      </c>
      <c r="J87" t="b">
        <f t="shared" si="3"/>
        <v>0</v>
      </c>
    </row>
    <row r="88" spans="1:10">
      <c r="A88" s="7">
        <f t="shared" si="2"/>
        <v>87</v>
      </c>
      <c r="B88" s="9" t="s">
        <v>98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J88" t="b">
        <f t="shared" si="3"/>
        <v>0</v>
      </c>
    </row>
    <row r="89" spans="1:10">
      <c r="A89" s="7">
        <f t="shared" si="2"/>
        <v>88</v>
      </c>
      <c r="B89" s="9" t="s">
        <v>99</v>
      </c>
      <c r="C89" t="b">
        <v>0</v>
      </c>
      <c r="D89" t="b">
        <v>0</v>
      </c>
      <c r="E89" t="b">
        <v>0</v>
      </c>
      <c r="J89" t="b">
        <f t="shared" si="3"/>
        <v>0</v>
      </c>
    </row>
    <row r="90" spans="1:10">
      <c r="A90" s="7">
        <f t="shared" si="2"/>
        <v>89</v>
      </c>
      <c r="B90" s="9" t="s">
        <v>100</v>
      </c>
      <c r="C90" t="b">
        <v>0</v>
      </c>
      <c r="E90" t="b">
        <v>0</v>
      </c>
      <c r="J90" t="b">
        <f t="shared" si="3"/>
        <v>0</v>
      </c>
    </row>
    <row r="91" spans="1:10">
      <c r="A91" s="7">
        <f t="shared" si="2"/>
        <v>90</v>
      </c>
      <c r="B91" s="9" t="s">
        <v>101</v>
      </c>
      <c r="C91" t="b">
        <v>0</v>
      </c>
      <c r="E91" t="b">
        <v>0</v>
      </c>
      <c r="J91" t="b">
        <f t="shared" si="3"/>
        <v>0</v>
      </c>
    </row>
    <row r="92" spans="1:10">
      <c r="A92" s="7">
        <f t="shared" si="2"/>
        <v>91</v>
      </c>
      <c r="B92" s="9" t="s">
        <v>102</v>
      </c>
      <c r="C92" t="b">
        <v>0</v>
      </c>
      <c r="D92" t="b">
        <v>0</v>
      </c>
      <c r="E92" t="b">
        <v>0</v>
      </c>
      <c r="J92" t="b">
        <f t="shared" si="3"/>
        <v>0</v>
      </c>
    </row>
    <row r="93" spans="1:10">
      <c r="A93" s="7">
        <f t="shared" si="2"/>
        <v>92</v>
      </c>
      <c r="B93" s="9" t="s">
        <v>103</v>
      </c>
      <c r="C93" t="b">
        <v>0</v>
      </c>
      <c r="D93" t="b">
        <v>0</v>
      </c>
      <c r="E93" t="b">
        <v>0</v>
      </c>
      <c r="J93" t="b">
        <f t="shared" si="3"/>
        <v>0</v>
      </c>
    </row>
    <row r="94" spans="1:10">
      <c r="A94" s="7">
        <f t="shared" si="2"/>
        <v>93</v>
      </c>
      <c r="B94" s="9" t="s">
        <v>104</v>
      </c>
      <c r="C94" t="b">
        <v>0</v>
      </c>
      <c r="D94" t="b">
        <v>0</v>
      </c>
      <c r="E94" t="b">
        <v>0</v>
      </c>
      <c r="J94" t="b">
        <f t="shared" si="3"/>
        <v>0</v>
      </c>
    </row>
    <row r="95" spans="1:10">
      <c r="A95" s="7">
        <f t="shared" si="2"/>
        <v>94</v>
      </c>
      <c r="B95" s="9" t="s">
        <v>105</v>
      </c>
      <c r="C95" t="b">
        <v>0</v>
      </c>
      <c r="D95" t="b">
        <v>0</v>
      </c>
      <c r="E95" t="b">
        <v>0</v>
      </c>
      <c r="J95" t="b">
        <f t="shared" si="3"/>
        <v>0</v>
      </c>
    </row>
    <row r="96" spans="1:10">
      <c r="A96" s="7">
        <f t="shared" si="2"/>
        <v>95</v>
      </c>
      <c r="B96" s="9" t="s">
        <v>106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J96" t="b">
        <f t="shared" si="3"/>
        <v>0</v>
      </c>
    </row>
    <row r="97" spans="1:10">
      <c r="A97" s="7">
        <f t="shared" si="2"/>
        <v>96</v>
      </c>
      <c r="B97" s="9" t="s">
        <v>107</v>
      </c>
      <c r="C97" t="b">
        <v>0</v>
      </c>
      <c r="D97" t="b">
        <v>0</v>
      </c>
      <c r="E97" t="b">
        <v>0</v>
      </c>
      <c r="J97" t="b">
        <f t="shared" si="3"/>
        <v>0</v>
      </c>
    </row>
    <row r="98" spans="1:10">
      <c r="A98" s="7">
        <f t="shared" si="2"/>
        <v>97</v>
      </c>
      <c r="B98" s="9" t="s">
        <v>108</v>
      </c>
      <c r="F98" t="b">
        <v>0</v>
      </c>
      <c r="G98" t="b">
        <v>0</v>
      </c>
      <c r="J98" t="b">
        <f t="shared" si="3"/>
        <v>0</v>
      </c>
    </row>
    <row r="99" spans="1:10">
      <c r="A99" s="7">
        <f t="shared" si="2"/>
        <v>98</v>
      </c>
      <c r="B99" s="9" t="s">
        <v>109</v>
      </c>
      <c r="C99" t="b">
        <v>0</v>
      </c>
      <c r="D99" t="b">
        <v>0</v>
      </c>
      <c r="E99" t="b">
        <v>0</v>
      </c>
      <c r="J99" t="b">
        <f t="shared" si="3"/>
        <v>0</v>
      </c>
    </row>
    <row r="100" spans="1:10">
      <c r="A100" s="7">
        <f t="shared" si="2"/>
        <v>99</v>
      </c>
      <c r="B100" s="9" t="s">
        <v>110</v>
      </c>
      <c r="C100" t="b">
        <v>0</v>
      </c>
      <c r="D100" t="b">
        <v>0</v>
      </c>
      <c r="E100" t="b">
        <v>0</v>
      </c>
      <c r="J100" t="b">
        <f t="shared" si="3"/>
        <v>0</v>
      </c>
    </row>
    <row r="101" spans="1:10">
      <c r="A101" s="7">
        <f t="shared" si="2"/>
        <v>100</v>
      </c>
      <c r="B101" s="9" t="s">
        <v>111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J101" t="b">
        <f t="shared" si="3"/>
        <v>0</v>
      </c>
    </row>
    <row r="102" spans="1:10">
      <c r="A102" s="7">
        <f t="shared" si="2"/>
        <v>101</v>
      </c>
      <c r="B102" s="9" t="s">
        <v>112</v>
      </c>
      <c r="C102" t="b">
        <v>0</v>
      </c>
      <c r="D102" t="b">
        <v>0</v>
      </c>
      <c r="E102" t="b">
        <v>0</v>
      </c>
      <c r="J102" t="b">
        <f t="shared" si="3"/>
        <v>0</v>
      </c>
    </row>
    <row r="103" spans="1:10">
      <c r="A103" s="7">
        <f t="shared" si="2"/>
        <v>102</v>
      </c>
      <c r="B103" s="9" t="s">
        <v>113</v>
      </c>
      <c r="C103" t="b">
        <v>0</v>
      </c>
      <c r="D103" t="b">
        <v>0</v>
      </c>
      <c r="E103" t="b">
        <v>0</v>
      </c>
      <c r="J103" t="b">
        <f t="shared" si="3"/>
        <v>0</v>
      </c>
    </row>
    <row r="104" spans="1:10">
      <c r="A104" s="7">
        <f t="shared" si="2"/>
        <v>103</v>
      </c>
      <c r="B104" s="9" t="s">
        <v>114</v>
      </c>
      <c r="C104" t="b">
        <v>0</v>
      </c>
      <c r="D104" t="b">
        <v>0</v>
      </c>
      <c r="E104" t="b">
        <v>0</v>
      </c>
      <c r="J104" t="b">
        <f t="shared" si="3"/>
        <v>0</v>
      </c>
    </row>
    <row r="105" spans="1:10">
      <c r="A105" s="7">
        <f t="shared" si="2"/>
        <v>104</v>
      </c>
      <c r="B105" s="9" t="s">
        <v>115</v>
      </c>
      <c r="C105" t="b">
        <v>0</v>
      </c>
      <c r="D105" t="b">
        <v>0</v>
      </c>
      <c r="E105" t="b">
        <v>0</v>
      </c>
      <c r="J105" t="b">
        <f t="shared" si="3"/>
        <v>0</v>
      </c>
    </row>
    <row r="106" spans="1:10">
      <c r="A106" s="7">
        <f t="shared" si="2"/>
        <v>105</v>
      </c>
      <c r="B106" s="9" t="s">
        <v>116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J106" t="b">
        <f t="shared" si="3"/>
        <v>0</v>
      </c>
    </row>
    <row r="107" spans="1:10">
      <c r="A107" s="7">
        <f t="shared" si="2"/>
        <v>106</v>
      </c>
      <c r="B107" s="9" t="s">
        <v>117</v>
      </c>
      <c r="C107" t="b">
        <v>0</v>
      </c>
      <c r="D107" t="b">
        <v>0</v>
      </c>
      <c r="E107" t="b">
        <v>0</v>
      </c>
      <c r="J107" t="b">
        <f t="shared" si="3"/>
        <v>0</v>
      </c>
    </row>
    <row r="108" spans="1:10">
      <c r="A108" s="7">
        <f t="shared" si="2"/>
        <v>107</v>
      </c>
      <c r="B108" s="9" t="s">
        <v>118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J108" t="b">
        <f t="shared" si="3"/>
        <v>0</v>
      </c>
    </row>
    <row r="109" spans="1:10">
      <c r="A109" s="7">
        <f t="shared" si="2"/>
        <v>108</v>
      </c>
      <c r="B109" s="9" t="s">
        <v>119</v>
      </c>
      <c r="C109" t="b">
        <v>0</v>
      </c>
      <c r="D109" t="b">
        <v>0</v>
      </c>
      <c r="E109" t="b">
        <v>0</v>
      </c>
      <c r="J109" t="b">
        <f t="shared" si="3"/>
        <v>0</v>
      </c>
    </row>
    <row r="110" spans="1:10">
      <c r="A110" s="7">
        <f t="shared" si="2"/>
        <v>109</v>
      </c>
      <c r="B110" s="9" t="s">
        <v>120</v>
      </c>
      <c r="C110" t="b">
        <v>0</v>
      </c>
      <c r="D110" t="b">
        <v>0</v>
      </c>
      <c r="E110" t="b">
        <v>0</v>
      </c>
      <c r="J110" t="b">
        <f t="shared" si="3"/>
        <v>0</v>
      </c>
    </row>
    <row r="111" spans="1:10">
      <c r="A111" s="7">
        <f t="shared" si="2"/>
        <v>110</v>
      </c>
      <c r="B111" s="9" t="s">
        <v>121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J111" t="b">
        <f t="shared" si="3"/>
        <v>0</v>
      </c>
    </row>
    <row r="112" spans="1:10">
      <c r="A112" s="7">
        <f t="shared" si="2"/>
        <v>111</v>
      </c>
      <c r="B112" s="9" t="s">
        <v>122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J112" t="b">
        <f t="shared" si="3"/>
        <v>0</v>
      </c>
    </row>
    <row r="113" spans="1:10">
      <c r="A113" s="7">
        <f t="shared" si="2"/>
        <v>112</v>
      </c>
      <c r="B113" s="9" t="s">
        <v>123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J113" t="b">
        <f t="shared" si="3"/>
        <v>0</v>
      </c>
    </row>
    <row r="114" spans="1:10">
      <c r="A114" s="7">
        <f t="shared" si="2"/>
        <v>113</v>
      </c>
      <c r="B114" s="9" t="s">
        <v>124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J114" t="b">
        <f t="shared" si="3"/>
        <v>0</v>
      </c>
    </row>
    <row r="115" spans="1:10">
      <c r="A115" s="7">
        <f t="shared" si="2"/>
        <v>114</v>
      </c>
      <c r="B115" s="9" t="s">
        <v>125</v>
      </c>
      <c r="C115" t="b">
        <v>0</v>
      </c>
      <c r="D115" t="b">
        <v>0</v>
      </c>
      <c r="E115" t="b">
        <v>0</v>
      </c>
      <c r="J115" t="b">
        <f t="shared" si="3"/>
        <v>0</v>
      </c>
    </row>
    <row r="116" spans="1:10">
      <c r="A116" s="7">
        <f t="shared" si="2"/>
        <v>115</v>
      </c>
      <c r="B116" s="9" t="s">
        <v>126</v>
      </c>
      <c r="C116" t="b">
        <v>0</v>
      </c>
      <c r="D116" t="b">
        <v>0</v>
      </c>
      <c r="E116" t="b">
        <v>0</v>
      </c>
      <c r="J116" t="b">
        <f t="shared" si="3"/>
        <v>0</v>
      </c>
    </row>
    <row r="117" spans="1:10">
      <c r="A117" s="7">
        <f t="shared" si="2"/>
        <v>116</v>
      </c>
      <c r="B117" s="9" t="s">
        <v>127</v>
      </c>
      <c r="C117" t="b">
        <v>0</v>
      </c>
      <c r="D117" t="b">
        <v>0</v>
      </c>
      <c r="E117" t="b">
        <v>0</v>
      </c>
      <c r="J117" t="b">
        <f t="shared" si="3"/>
        <v>0</v>
      </c>
    </row>
    <row r="118" spans="1:10">
      <c r="A118" s="7">
        <f t="shared" si="2"/>
        <v>117</v>
      </c>
      <c r="B118" s="9" t="s">
        <v>128</v>
      </c>
      <c r="C118" t="b">
        <v>0</v>
      </c>
      <c r="D118" t="b">
        <v>0</v>
      </c>
      <c r="E118" t="b">
        <v>0</v>
      </c>
      <c r="J118" t="b">
        <f t="shared" si="3"/>
        <v>0</v>
      </c>
    </row>
    <row r="119" spans="1:10">
      <c r="A119" s="7">
        <f t="shared" si="2"/>
        <v>118</v>
      </c>
      <c r="B119" s="9" t="s">
        <v>129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J119" t="b">
        <f t="shared" si="3"/>
        <v>0</v>
      </c>
    </row>
    <row r="120" spans="1:10">
      <c r="A120" s="7">
        <f t="shared" si="2"/>
        <v>119</v>
      </c>
      <c r="B120" s="9" t="s">
        <v>130</v>
      </c>
      <c r="C120" t="b">
        <v>0</v>
      </c>
      <c r="D120" t="b">
        <v>0</v>
      </c>
      <c r="E120" t="b">
        <v>0</v>
      </c>
      <c r="J120" t="b">
        <f t="shared" si="3"/>
        <v>0</v>
      </c>
    </row>
    <row r="121" spans="1:10">
      <c r="A121" s="7">
        <f t="shared" si="2"/>
        <v>120</v>
      </c>
      <c r="B121" s="9" t="s">
        <v>131</v>
      </c>
      <c r="C121" t="b">
        <v>0</v>
      </c>
      <c r="D121" t="b">
        <v>0</v>
      </c>
      <c r="E121" t="b">
        <v>0</v>
      </c>
      <c r="J121" t="b">
        <f t="shared" si="3"/>
        <v>0</v>
      </c>
    </row>
    <row r="122" spans="1:10">
      <c r="A122" s="7">
        <f t="shared" si="2"/>
        <v>121</v>
      </c>
      <c r="B122" s="9" t="s">
        <v>132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J122" t="b">
        <f t="shared" si="3"/>
        <v>0</v>
      </c>
    </row>
    <row r="123" spans="1:10">
      <c r="A123" s="7">
        <f t="shared" si="2"/>
        <v>122</v>
      </c>
      <c r="B123" s="9" t="s">
        <v>133</v>
      </c>
      <c r="C123" t="b">
        <v>0</v>
      </c>
      <c r="D123" t="b">
        <v>0</v>
      </c>
      <c r="E123" t="b">
        <v>0</v>
      </c>
      <c r="J123" t="b">
        <f t="shared" si="3"/>
        <v>0</v>
      </c>
    </row>
    <row r="124" spans="1:10">
      <c r="A124" s="7">
        <f t="shared" si="2"/>
        <v>123</v>
      </c>
      <c r="B124" s="9" t="s">
        <v>134</v>
      </c>
      <c r="C124" t="b">
        <v>0</v>
      </c>
      <c r="D124" t="b">
        <v>0</v>
      </c>
      <c r="E124" t="b">
        <v>0</v>
      </c>
      <c r="J124" t="b">
        <f t="shared" si="3"/>
        <v>0</v>
      </c>
    </row>
    <row r="125" spans="1:10">
      <c r="A125" s="7">
        <f t="shared" si="2"/>
        <v>124</v>
      </c>
      <c r="B125" s="9" t="s">
        <v>135</v>
      </c>
      <c r="C125" t="b">
        <v>0</v>
      </c>
      <c r="D125" t="b">
        <v>0</v>
      </c>
      <c r="E125" t="b">
        <v>0</v>
      </c>
      <c r="J125" t="b">
        <f t="shared" si="3"/>
        <v>0</v>
      </c>
    </row>
    <row r="126" spans="1:10">
      <c r="A126" s="7">
        <f t="shared" si="2"/>
        <v>125</v>
      </c>
      <c r="B126" s="9" t="s">
        <v>136</v>
      </c>
      <c r="C126" t="b">
        <v>0</v>
      </c>
      <c r="D126" t="b">
        <v>0</v>
      </c>
      <c r="E126" t="b">
        <v>0</v>
      </c>
      <c r="J126" t="b">
        <f t="shared" si="3"/>
        <v>0</v>
      </c>
    </row>
    <row r="127" spans="1:10">
      <c r="A127" s="7">
        <f t="shared" si="2"/>
        <v>126</v>
      </c>
      <c r="B127" s="9" t="s">
        <v>137</v>
      </c>
      <c r="C127" t="b">
        <v>0</v>
      </c>
      <c r="D127" t="b">
        <v>0</v>
      </c>
      <c r="E127" t="b">
        <v>0</v>
      </c>
      <c r="J127" t="b">
        <f t="shared" si="3"/>
        <v>0</v>
      </c>
    </row>
    <row r="128" spans="1:10">
      <c r="A128" s="7">
        <f t="shared" si="2"/>
        <v>127</v>
      </c>
      <c r="B128" s="9" t="s">
        <v>138</v>
      </c>
      <c r="C128" t="b">
        <v>0</v>
      </c>
      <c r="D128" t="b">
        <v>0</v>
      </c>
      <c r="E128" t="b">
        <v>0</v>
      </c>
      <c r="J128" t="b">
        <f t="shared" si="3"/>
        <v>0</v>
      </c>
    </row>
    <row r="129" spans="1:10">
      <c r="A129" s="7">
        <f t="shared" si="2"/>
        <v>128</v>
      </c>
      <c r="B129" s="9" t="s">
        <v>139</v>
      </c>
      <c r="C129" t="b">
        <v>0</v>
      </c>
      <c r="D129" t="b">
        <v>0</v>
      </c>
      <c r="E129" t="b">
        <v>0</v>
      </c>
      <c r="J129" t="b">
        <f t="shared" si="3"/>
        <v>0</v>
      </c>
    </row>
    <row r="130" spans="1:10">
      <c r="A130" s="7">
        <f t="shared" si="2"/>
        <v>129</v>
      </c>
      <c r="B130" s="9" t="s">
        <v>140</v>
      </c>
      <c r="C130" t="b">
        <v>0</v>
      </c>
      <c r="D130" t="b">
        <v>0</v>
      </c>
      <c r="E130" t="b">
        <v>0</v>
      </c>
      <c r="J130" t="b">
        <f t="shared" si="3"/>
        <v>0</v>
      </c>
    </row>
    <row r="131" spans="1:10">
      <c r="A131" s="7">
        <f t="shared" si="2"/>
        <v>130</v>
      </c>
      <c r="B131" s="9" t="s">
        <v>141</v>
      </c>
      <c r="C131" t="b">
        <v>0</v>
      </c>
      <c r="D131" t="b">
        <v>0</v>
      </c>
      <c r="E131" t="b">
        <v>0</v>
      </c>
      <c r="J131" t="b">
        <f t="shared" si="3"/>
        <v>0</v>
      </c>
    </row>
    <row r="132" spans="1:10">
      <c r="A132" s="7">
        <f t="shared" si="2"/>
        <v>131</v>
      </c>
      <c r="B132" s="9" t="s">
        <v>142</v>
      </c>
      <c r="C132" t="b">
        <v>0</v>
      </c>
      <c r="D132" t="b">
        <v>0</v>
      </c>
      <c r="E132" t="b">
        <v>0</v>
      </c>
      <c r="J132" t="b">
        <f t="shared" si="3"/>
        <v>0</v>
      </c>
    </row>
    <row r="133" spans="1:10">
      <c r="A133" s="7">
        <f t="shared" si="2"/>
        <v>132</v>
      </c>
      <c r="B133" s="9" t="s">
        <v>143</v>
      </c>
      <c r="C133" t="b">
        <v>0</v>
      </c>
      <c r="D133" t="b">
        <v>0</v>
      </c>
      <c r="E133" t="b">
        <v>0</v>
      </c>
      <c r="J133" t="b">
        <f t="shared" si="3"/>
        <v>0</v>
      </c>
    </row>
    <row r="134" spans="1:10">
      <c r="A134" s="7">
        <f t="shared" si="2"/>
        <v>133</v>
      </c>
      <c r="B134" s="9" t="s">
        <v>144</v>
      </c>
      <c r="C134" t="b">
        <v>0</v>
      </c>
      <c r="D134" t="b">
        <v>0</v>
      </c>
      <c r="E134" t="b">
        <v>0</v>
      </c>
      <c r="J134" t="b">
        <f t="shared" si="3"/>
        <v>0</v>
      </c>
    </row>
    <row r="135" spans="1:10">
      <c r="A135" s="7">
        <f t="shared" si="2"/>
        <v>134</v>
      </c>
      <c r="B135" s="9" t="s">
        <v>145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J135" t="b">
        <f t="shared" si="3"/>
        <v>0</v>
      </c>
    </row>
    <row r="136" spans="1:10">
      <c r="A136" s="7">
        <f t="shared" si="2"/>
        <v>135</v>
      </c>
      <c r="B136" s="9" t="s">
        <v>146</v>
      </c>
      <c r="C136" t="b">
        <v>0</v>
      </c>
      <c r="D136" t="b">
        <v>0</v>
      </c>
      <c r="E136" t="b">
        <v>0</v>
      </c>
      <c r="J136" t="b">
        <f t="shared" si="3"/>
        <v>0</v>
      </c>
    </row>
    <row r="137" spans="1:10">
      <c r="A137" s="7">
        <f t="shared" si="2"/>
        <v>136</v>
      </c>
      <c r="B137" s="9" t="s">
        <v>147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J137" t="b">
        <f t="shared" si="3"/>
        <v>0</v>
      </c>
    </row>
    <row r="138" spans="1:10">
      <c r="A138" s="7">
        <f t="shared" si="2"/>
        <v>137</v>
      </c>
      <c r="B138" s="9" t="s">
        <v>148</v>
      </c>
      <c r="C138" t="b">
        <v>0</v>
      </c>
      <c r="D138" t="b">
        <v>0</v>
      </c>
      <c r="E138" t="b">
        <v>0</v>
      </c>
      <c r="J138" t="b">
        <f t="shared" si="3"/>
        <v>0</v>
      </c>
    </row>
    <row r="139" spans="1:10">
      <c r="A139" s="7">
        <f t="shared" si="2"/>
        <v>138</v>
      </c>
      <c r="B139" s="9" t="s">
        <v>149</v>
      </c>
      <c r="C139" t="b">
        <v>0</v>
      </c>
      <c r="D139" t="b">
        <v>0</v>
      </c>
      <c r="E139" t="b">
        <v>0</v>
      </c>
      <c r="J139" t="b">
        <f t="shared" si="3"/>
        <v>0</v>
      </c>
    </row>
    <row r="140" spans="1:10">
      <c r="A140" s="7">
        <f t="shared" si="2"/>
        <v>139</v>
      </c>
      <c r="B140" s="9" t="s">
        <v>150</v>
      </c>
      <c r="C140" t="b">
        <v>0</v>
      </c>
      <c r="D140" t="b">
        <v>0</v>
      </c>
      <c r="E140" t="b">
        <v>0</v>
      </c>
      <c r="J140" t="b">
        <f t="shared" si="3"/>
        <v>0</v>
      </c>
    </row>
    <row r="141" spans="1:10">
      <c r="A141" s="7">
        <f t="shared" si="2"/>
        <v>140</v>
      </c>
      <c r="B141" s="9" t="s">
        <v>151</v>
      </c>
      <c r="E141" t="b">
        <v>0</v>
      </c>
      <c r="J141" t="b">
        <f t="shared" si="3"/>
        <v>0</v>
      </c>
    </row>
    <row r="142" spans="1:10">
      <c r="A142" s="7">
        <f t="shared" si="2"/>
        <v>141</v>
      </c>
      <c r="B142" s="9" t="s">
        <v>152</v>
      </c>
      <c r="C142" t="b">
        <v>0</v>
      </c>
      <c r="D142" t="b">
        <v>0</v>
      </c>
      <c r="E142" t="b">
        <v>0</v>
      </c>
      <c r="J142" t="b">
        <f t="shared" si="3"/>
        <v>0</v>
      </c>
    </row>
    <row r="143" spans="1:10">
      <c r="A143" s="7">
        <f t="shared" si="2"/>
        <v>142</v>
      </c>
      <c r="B143" s="9" t="s">
        <v>153</v>
      </c>
      <c r="C143" t="b">
        <v>0</v>
      </c>
      <c r="D143" t="b">
        <v>0</v>
      </c>
      <c r="E143" t="b">
        <v>0</v>
      </c>
      <c r="J143" t="b">
        <f t="shared" si="3"/>
        <v>0</v>
      </c>
    </row>
    <row r="144" spans="1:10">
      <c r="A144" s="7">
        <f t="shared" si="2"/>
        <v>143</v>
      </c>
      <c r="B144" s="9" t="s">
        <v>154</v>
      </c>
      <c r="C144" t="b">
        <v>0</v>
      </c>
      <c r="D144" t="b">
        <v>0</v>
      </c>
      <c r="E144" t="b">
        <v>0</v>
      </c>
      <c r="J144" t="b">
        <f t="shared" si="3"/>
        <v>0</v>
      </c>
    </row>
    <row r="145" spans="1:10">
      <c r="A145" s="7">
        <f t="shared" si="2"/>
        <v>144</v>
      </c>
      <c r="B145" s="9" t="s">
        <v>155</v>
      </c>
      <c r="E145" t="b">
        <v>0</v>
      </c>
      <c r="J145" t="b">
        <f t="shared" si="3"/>
        <v>0</v>
      </c>
    </row>
    <row r="146" spans="1:10">
      <c r="A146" s="7">
        <f t="shared" si="2"/>
        <v>145</v>
      </c>
      <c r="B146" s="9" t="s">
        <v>156</v>
      </c>
      <c r="C146" t="b">
        <v>0</v>
      </c>
      <c r="D146" t="b">
        <v>0</v>
      </c>
      <c r="E146" t="b">
        <v>0</v>
      </c>
      <c r="J146" t="b">
        <f t="shared" si="3"/>
        <v>0</v>
      </c>
    </row>
    <row r="147" spans="1:10">
      <c r="A147" s="7">
        <f t="shared" si="2"/>
        <v>146</v>
      </c>
      <c r="B147" s="9" t="s">
        <v>157</v>
      </c>
      <c r="C147" t="b">
        <v>0</v>
      </c>
      <c r="D147" t="b">
        <v>0</v>
      </c>
      <c r="E147" t="b">
        <v>0</v>
      </c>
      <c r="J147" t="b">
        <f t="shared" si="3"/>
        <v>0</v>
      </c>
    </row>
    <row r="148" spans="1:10">
      <c r="A148" s="7">
        <f t="shared" ref="A148:A208" si="4">ROW()-1</f>
        <v>147</v>
      </c>
      <c r="B148" s="9" t="s">
        <v>158</v>
      </c>
      <c r="C148" t="b">
        <v>0</v>
      </c>
      <c r="D148" t="b">
        <v>0</v>
      </c>
      <c r="E148" t="b">
        <v>0</v>
      </c>
      <c r="J148" t="b">
        <f t="shared" ref="J148:J208" si="5">AND(C148:I148)</f>
        <v>0</v>
      </c>
    </row>
    <row r="149" spans="1:10">
      <c r="A149" s="7">
        <f t="shared" si="4"/>
        <v>148</v>
      </c>
      <c r="B149" s="9" t="s">
        <v>159</v>
      </c>
      <c r="C149" t="b">
        <v>0</v>
      </c>
      <c r="D149" t="b">
        <v>0</v>
      </c>
      <c r="E149" t="b">
        <v>0</v>
      </c>
      <c r="J149" t="b">
        <f t="shared" si="5"/>
        <v>0</v>
      </c>
    </row>
    <row r="150" spans="1:10">
      <c r="A150" s="7">
        <f t="shared" si="4"/>
        <v>149</v>
      </c>
      <c r="B150" s="9" t="s">
        <v>160</v>
      </c>
      <c r="F150" t="b">
        <v>0</v>
      </c>
      <c r="G150" t="b">
        <v>0</v>
      </c>
      <c r="J150" t="b">
        <f t="shared" si="5"/>
        <v>0</v>
      </c>
    </row>
    <row r="151" spans="1:10">
      <c r="A151" s="7">
        <f t="shared" si="4"/>
        <v>150</v>
      </c>
      <c r="B151" s="9" t="s">
        <v>161</v>
      </c>
      <c r="C151" t="b">
        <v>0</v>
      </c>
      <c r="D151" t="b">
        <v>0</v>
      </c>
      <c r="E151" t="b">
        <v>0</v>
      </c>
      <c r="J151" t="b">
        <f t="shared" si="5"/>
        <v>0</v>
      </c>
    </row>
    <row r="152" spans="1:10">
      <c r="A152" s="7">
        <f t="shared" si="4"/>
        <v>151</v>
      </c>
      <c r="B152" s="9" t="s">
        <v>162</v>
      </c>
      <c r="C152" t="b">
        <v>0</v>
      </c>
      <c r="D152" t="b">
        <v>0</v>
      </c>
      <c r="E152" t="b">
        <v>0</v>
      </c>
      <c r="J152" t="b">
        <f t="shared" si="5"/>
        <v>0</v>
      </c>
    </row>
    <row r="153" spans="1:10">
      <c r="A153" s="7">
        <f t="shared" si="4"/>
        <v>152</v>
      </c>
      <c r="B153" s="9" t="s">
        <v>163</v>
      </c>
      <c r="C153" t="b">
        <v>0</v>
      </c>
      <c r="D153" t="b">
        <v>0</v>
      </c>
      <c r="E153" t="b">
        <v>0</v>
      </c>
      <c r="J153" t="b">
        <f t="shared" si="5"/>
        <v>0</v>
      </c>
    </row>
    <row r="154" spans="1:10">
      <c r="A154" s="7">
        <f t="shared" si="4"/>
        <v>153</v>
      </c>
      <c r="B154" s="9" t="s">
        <v>164</v>
      </c>
      <c r="C154" t="b">
        <v>0</v>
      </c>
      <c r="D154" t="b">
        <v>0</v>
      </c>
      <c r="E154" t="b">
        <v>0</v>
      </c>
      <c r="J154" t="b">
        <f t="shared" si="5"/>
        <v>0</v>
      </c>
    </row>
    <row r="155" spans="1:10">
      <c r="A155" s="7">
        <f t="shared" si="4"/>
        <v>154</v>
      </c>
      <c r="B155" s="9" t="s">
        <v>165</v>
      </c>
      <c r="F155" t="b">
        <v>0</v>
      </c>
      <c r="G155" t="b">
        <v>0</v>
      </c>
      <c r="J155" t="b">
        <f t="shared" si="5"/>
        <v>0</v>
      </c>
    </row>
    <row r="156" spans="1:10">
      <c r="A156" s="7">
        <f t="shared" si="4"/>
        <v>155</v>
      </c>
      <c r="B156" s="9" t="s">
        <v>166</v>
      </c>
      <c r="F156" t="b">
        <v>0</v>
      </c>
      <c r="G156" t="b">
        <v>0</v>
      </c>
      <c r="J156" t="b">
        <f t="shared" si="5"/>
        <v>0</v>
      </c>
    </row>
    <row r="157" spans="1:10">
      <c r="A157" s="7">
        <f t="shared" si="4"/>
        <v>156</v>
      </c>
      <c r="B157" s="9" t="s">
        <v>167</v>
      </c>
      <c r="C157" t="b">
        <v>0</v>
      </c>
      <c r="D157" t="b">
        <v>0</v>
      </c>
      <c r="E157" t="b">
        <v>0</v>
      </c>
      <c r="J157" t="b">
        <f t="shared" si="5"/>
        <v>0</v>
      </c>
    </row>
    <row r="158" spans="1:10">
      <c r="A158" s="7">
        <f t="shared" si="4"/>
        <v>157</v>
      </c>
      <c r="B158" s="9" t="s">
        <v>168</v>
      </c>
      <c r="C158" t="b">
        <v>0</v>
      </c>
      <c r="D158" t="b">
        <v>0</v>
      </c>
      <c r="E158" t="b">
        <v>0</v>
      </c>
      <c r="G158" t="b">
        <v>0</v>
      </c>
      <c r="J158" t="b">
        <f t="shared" si="5"/>
        <v>0</v>
      </c>
    </row>
    <row r="159" spans="1:10">
      <c r="A159" s="7">
        <f t="shared" si="4"/>
        <v>158</v>
      </c>
      <c r="B159" s="9" t="s">
        <v>169</v>
      </c>
      <c r="C159" t="b">
        <v>0</v>
      </c>
      <c r="D159" t="b">
        <v>0</v>
      </c>
      <c r="E159" t="b">
        <v>0</v>
      </c>
      <c r="J159" t="b">
        <f t="shared" si="5"/>
        <v>0</v>
      </c>
    </row>
    <row r="160" spans="1:10">
      <c r="A160" s="7">
        <f t="shared" si="4"/>
        <v>159</v>
      </c>
      <c r="B160" s="9" t="s">
        <v>170</v>
      </c>
      <c r="C160" t="b">
        <v>0</v>
      </c>
      <c r="D160" t="b">
        <v>0</v>
      </c>
      <c r="E160" t="b">
        <v>0</v>
      </c>
      <c r="J160" t="b">
        <f t="shared" si="5"/>
        <v>0</v>
      </c>
    </row>
    <row r="161" spans="1:10">
      <c r="A161" s="7">
        <f t="shared" si="4"/>
        <v>160</v>
      </c>
      <c r="B161" s="9" t="s">
        <v>171</v>
      </c>
      <c r="I161" t="b">
        <v>0</v>
      </c>
      <c r="J161" t="b">
        <f t="shared" si="5"/>
        <v>0</v>
      </c>
    </row>
    <row r="162" spans="1:10">
      <c r="A162" s="7">
        <f t="shared" si="4"/>
        <v>161</v>
      </c>
      <c r="B162" s="9" t="s">
        <v>172</v>
      </c>
      <c r="I162" t="b">
        <v>0</v>
      </c>
      <c r="J162" t="b">
        <f t="shared" si="5"/>
        <v>0</v>
      </c>
    </row>
    <row r="163" spans="1:10">
      <c r="A163" s="7">
        <f t="shared" si="4"/>
        <v>162</v>
      </c>
      <c r="B163" s="9" t="s">
        <v>173</v>
      </c>
      <c r="C163" t="b">
        <v>0</v>
      </c>
      <c r="D163" t="b">
        <v>0</v>
      </c>
      <c r="E163" t="b">
        <v>0</v>
      </c>
      <c r="J163" t="b">
        <f t="shared" si="5"/>
        <v>0</v>
      </c>
    </row>
    <row r="164" spans="1:10">
      <c r="A164" s="7">
        <f t="shared" si="4"/>
        <v>163</v>
      </c>
      <c r="B164" s="9" t="s">
        <v>174</v>
      </c>
      <c r="C164" t="b">
        <v>0</v>
      </c>
      <c r="D164" t="b">
        <v>0</v>
      </c>
      <c r="E164" t="b">
        <v>0</v>
      </c>
      <c r="J164" t="b">
        <f t="shared" si="5"/>
        <v>0</v>
      </c>
    </row>
    <row r="165" spans="1:10">
      <c r="A165" s="7">
        <f t="shared" si="4"/>
        <v>164</v>
      </c>
      <c r="B165" s="9" t="s">
        <v>175</v>
      </c>
      <c r="C165" t="b">
        <v>0</v>
      </c>
      <c r="D165" t="b">
        <v>0</v>
      </c>
      <c r="E165" t="b">
        <v>0</v>
      </c>
      <c r="J165" t="b">
        <f t="shared" si="5"/>
        <v>0</v>
      </c>
    </row>
    <row r="166" spans="1:10">
      <c r="A166" s="7">
        <f t="shared" si="4"/>
        <v>165</v>
      </c>
      <c r="B166" s="10" t="s">
        <v>176</v>
      </c>
      <c r="C166" t="b">
        <v>0</v>
      </c>
      <c r="D166" t="b">
        <v>0</v>
      </c>
      <c r="E166" t="b">
        <v>0</v>
      </c>
      <c r="J166" t="b">
        <f t="shared" si="5"/>
        <v>0</v>
      </c>
    </row>
    <row r="167" spans="1:10">
      <c r="A167" s="7">
        <f t="shared" si="4"/>
        <v>166</v>
      </c>
      <c r="B167" s="10" t="s">
        <v>177</v>
      </c>
      <c r="C167" t="b">
        <v>0</v>
      </c>
      <c r="D167" t="b">
        <v>0</v>
      </c>
      <c r="E167" t="b">
        <v>0</v>
      </c>
      <c r="J167" t="b">
        <f t="shared" si="5"/>
        <v>0</v>
      </c>
    </row>
    <row r="168" spans="1:10">
      <c r="A168" s="7">
        <f t="shared" si="4"/>
        <v>167</v>
      </c>
      <c r="B168" s="9" t="s">
        <v>178</v>
      </c>
      <c r="C168" t="b">
        <v>0</v>
      </c>
      <c r="D168" t="b">
        <v>0</v>
      </c>
      <c r="J168" t="b">
        <f t="shared" si="5"/>
        <v>0</v>
      </c>
    </row>
    <row r="169" spans="1:10">
      <c r="A169" s="7">
        <f t="shared" si="4"/>
        <v>168</v>
      </c>
      <c r="B169" s="9" t="s">
        <v>179</v>
      </c>
      <c r="C169" t="b">
        <v>0</v>
      </c>
      <c r="D169" t="b">
        <v>0</v>
      </c>
      <c r="E169" t="b">
        <v>0</v>
      </c>
      <c r="J169" t="b">
        <f t="shared" si="5"/>
        <v>0</v>
      </c>
    </row>
    <row r="170" spans="1:10">
      <c r="A170" s="7">
        <f t="shared" si="4"/>
        <v>169</v>
      </c>
      <c r="B170" s="9" t="s">
        <v>180</v>
      </c>
      <c r="C170" t="b">
        <v>0</v>
      </c>
      <c r="D170" t="b">
        <v>0</v>
      </c>
      <c r="E170" t="b">
        <v>0</v>
      </c>
      <c r="J170" t="b">
        <f t="shared" si="5"/>
        <v>0</v>
      </c>
    </row>
    <row r="171" spans="1:10">
      <c r="A171" s="7">
        <f t="shared" si="4"/>
        <v>170</v>
      </c>
      <c r="B171" s="9" t="s">
        <v>181</v>
      </c>
      <c r="C171" t="b">
        <v>0</v>
      </c>
      <c r="D171" t="b">
        <v>0</v>
      </c>
      <c r="E171" t="b">
        <v>0</v>
      </c>
      <c r="J171" t="b">
        <f t="shared" si="5"/>
        <v>0</v>
      </c>
    </row>
    <row r="172" spans="1:10">
      <c r="A172" s="7">
        <f t="shared" si="4"/>
        <v>171</v>
      </c>
      <c r="B172" s="9" t="s">
        <v>182</v>
      </c>
      <c r="C172" t="b">
        <v>0</v>
      </c>
      <c r="D172" t="b">
        <v>0</v>
      </c>
      <c r="E172" t="b">
        <v>0</v>
      </c>
      <c r="J172" t="b">
        <f t="shared" si="5"/>
        <v>0</v>
      </c>
    </row>
    <row r="173" spans="1:10">
      <c r="A173" s="7">
        <f t="shared" si="4"/>
        <v>172</v>
      </c>
      <c r="B173" s="9" t="s">
        <v>183</v>
      </c>
      <c r="C173" t="b">
        <v>0</v>
      </c>
      <c r="D173" t="b">
        <v>0</v>
      </c>
      <c r="E173" t="b">
        <v>0</v>
      </c>
      <c r="J173" t="b">
        <f t="shared" si="5"/>
        <v>0</v>
      </c>
    </row>
    <row r="174" spans="1:10">
      <c r="A174" s="7">
        <f t="shared" si="4"/>
        <v>173</v>
      </c>
      <c r="B174" s="9" t="s">
        <v>184</v>
      </c>
      <c r="C174" t="b">
        <v>0</v>
      </c>
      <c r="D174" t="b">
        <v>0</v>
      </c>
      <c r="E174" t="b">
        <v>0</v>
      </c>
      <c r="J174" t="b">
        <f t="shared" si="5"/>
        <v>0</v>
      </c>
    </row>
    <row r="175" spans="1:10">
      <c r="A175" s="7">
        <f t="shared" si="4"/>
        <v>174</v>
      </c>
      <c r="B175" s="9" t="s">
        <v>185</v>
      </c>
      <c r="C175" t="b">
        <v>0</v>
      </c>
      <c r="D175" t="b">
        <v>0</v>
      </c>
      <c r="E175" t="b">
        <v>0</v>
      </c>
      <c r="J175" t="b">
        <f t="shared" si="5"/>
        <v>0</v>
      </c>
    </row>
    <row r="176" spans="1:10">
      <c r="A176" s="7">
        <f t="shared" si="4"/>
        <v>175</v>
      </c>
      <c r="B176" s="9" t="s">
        <v>186</v>
      </c>
      <c r="C176" t="b">
        <v>0</v>
      </c>
      <c r="D176" t="b">
        <v>0</v>
      </c>
      <c r="E176" t="b">
        <v>0</v>
      </c>
      <c r="J176" t="b">
        <f t="shared" si="5"/>
        <v>0</v>
      </c>
    </row>
    <row r="177" spans="1:10">
      <c r="A177" s="7">
        <f t="shared" si="4"/>
        <v>176</v>
      </c>
      <c r="B177" s="9" t="s">
        <v>187</v>
      </c>
      <c r="C177" t="b">
        <v>0</v>
      </c>
      <c r="D177" t="b">
        <v>0</v>
      </c>
      <c r="E177" t="b">
        <v>0</v>
      </c>
      <c r="J177" t="b">
        <f t="shared" si="5"/>
        <v>0</v>
      </c>
    </row>
    <row r="178" spans="1:10">
      <c r="A178" s="7">
        <f t="shared" si="4"/>
        <v>177</v>
      </c>
      <c r="B178" s="9" t="s">
        <v>188</v>
      </c>
      <c r="C178" t="b">
        <v>0</v>
      </c>
      <c r="D178" t="b">
        <v>0</v>
      </c>
      <c r="E178" t="b">
        <v>0</v>
      </c>
      <c r="J178" t="b">
        <f t="shared" si="5"/>
        <v>0</v>
      </c>
    </row>
    <row r="179" spans="1:10">
      <c r="A179" s="7">
        <f t="shared" si="4"/>
        <v>178</v>
      </c>
      <c r="B179" s="9" t="s">
        <v>189</v>
      </c>
      <c r="C179" t="b">
        <v>0</v>
      </c>
      <c r="D179" t="b">
        <v>0</v>
      </c>
      <c r="E179" t="b">
        <v>0</v>
      </c>
      <c r="J179" t="b">
        <f t="shared" si="5"/>
        <v>0</v>
      </c>
    </row>
    <row r="180" spans="1:10">
      <c r="A180" s="7">
        <f t="shared" si="4"/>
        <v>179</v>
      </c>
      <c r="B180" s="9" t="s">
        <v>190</v>
      </c>
      <c r="C180" t="b">
        <v>0</v>
      </c>
      <c r="D180" t="b">
        <v>0</v>
      </c>
      <c r="E180" t="b">
        <v>0</v>
      </c>
      <c r="J180" t="b">
        <f t="shared" si="5"/>
        <v>0</v>
      </c>
    </row>
    <row r="181" spans="1:10">
      <c r="A181" s="7">
        <f t="shared" si="4"/>
        <v>180</v>
      </c>
      <c r="B181" s="9" t="s">
        <v>191</v>
      </c>
      <c r="C181" t="b">
        <v>0</v>
      </c>
      <c r="D181" t="b">
        <v>0</v>
      </c>
      <c r="E181" t="b">
        <v>0</v>
      </c>
      <c r="J181" t="b">
        <f t="shared" si="5"/>
        <v>0</v>
      </c>
    </row>
    <row r="182" spans="1:10">
      <c r="A182" s="7">
        <f t="shared" si="4"/>
        <v>181</v>
      </c>
      <c r="B182" s="9" t="s">
        <v>192</v>
      </c>
      <c r="C182" t="b">
        <v>0</v>
      </c>
      <c r="D182" t="b">
        <v>0</v>
      </c>
      <c r="E182" t="b">
        <v>0</v>
      </c>
      <c r="J182" t="b">
        <f t="shared" si="5"/>
        <v>0</v>
      </c>
    </row>
    <row r="183" spans="1:10">
      <c r="A183" s="7">
        <f t="shared" si="4"/>
        <v>182</v>
      </c>
      <c r="B183" s="9" t="s">
        <v>193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J183" t="b">
        <f t="shared" si="5"/>
        <v>0</v>
      </c>
    </row>
    <row r="184" spans="1:10">
      <c r="A184" s="7">
        <f t="shared" si="4"/>
        <v>183</v>
      </c>
      <c r="B184" s="9" t="s">
        <v>194</v>
      </c>
      <c r="C184" t="b">
        <v>0</v>
      </c>
      <c r="D184" t="b">
        <v>0</v>
      </c>
      <c r="E184" t="b">
        <v>0</v>
      </c>
      <c r="J184" t="b">
        <f t="shared" si="5"/>
        <v>0</v>
      </c>
    </row>
    <row r="185" spans="1:10">
      <c r="A185" s="7">
        <f t="shared" si="4"/>
        <v>184</v>
      </c>
      <c r="B185" s="9" t="s">
        <v>195</v>
      </c>
      <c r="C185" t="b">
        <v>0</v>
      </c>
      <c r="D185" t="b">
        <v>0</v>
      </c>
      <c r="E185" t="b">
        <v>0</v>
      </c>
      <c r="J185" t="b">
        <f t="shared" si="5"/>
        <v>0</v>
      </c>
    </row>
    <row r="186" spans="1:10">
      <c r="A186" s="7">
        <f t="shared" si="4"/>
        <v>185</v>
      </c>
      <c r="B186" s="9" t="s">
        <v>196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J186" t="b">
        <f t="shared" si="5"/>
        <v>0</v>
      </c>
    </row>
    <row r="187" spans="1:10">
      <c r="A187" s="7">
        <f t="shared" si="4"/>
        <v>186</v>
      </c>
      <c r="B187" s="9" t="s">
        <v>197</v>
      </c>
      <c r="C187" t="b">
        <v>0</v>
      </c>
      <c r="D187" t="b">
        <v>0</v>
      </c>
      <c r="E187" t="b">
        <v>0</v>
      </c>
      <c r="J187" t="b">
        <f t="shared" si="5"/>
        <v>0</v>
      </c>
    </row>
    <row r="188" spans="1:10">
      <c r="A188" s="7">
        <f t="shared" si="4"/>
        <v>187</v>
      </c>
      <c r="B188" s="9" t="s">
        <v>198</v>
      </c>
      <c r="C188" t="b">
        <v>0</v>
      </c>
      <c r="D188" t="b">
        <v>0</v>
      </c>
      <c r="E188" t="b">
        <v>0</v>
      </c>
      <c r="J188" t="b">
        <f t="shared" si="5"/>
        <v>0</v>
      </c>
    </row>
    <row r="189" spans="1:10">
      <c r="A189" s="7">
        <f t="shared" si="4"/>
        <v>188</v>
      </c>
      <c r="B189" s="9" t="s">
        <v>199</v>
      </c>
      <c r="C189" t="b">
        <v>0</v>
      </c>
      <c r="D189" t="b">
        <v>0</v>
      </c>
      <c r="E189" t="b">
        <v>0</v>
      </c>
      <c r="J189" t="b">
        <f t="shared" si="5"/>
        <v>0</v>
      </c>
    </row>
    <row r="190" spans="1:10">
      <c r="A190" s="7">
        <f t="shared" si="4"/>
        <v>189</v>
      </c>
      <c r="B190" s="9" t="s">
        <v>200</v>
      </c>
      <c r="C190" t="b">
        <v>0</v>
      </c>
      <c r="D190" t="b">
        <v>0</v>
      </c>
      <c r="E190" t="b">
        <v>0</v>
      </c>
      <c r="J190" t="b">
        <f t="shared" si="5"/>
        <v>0</v>
      </c>
    </row>
    <row r="191" spans="1:10">
      <c r="A191" s="7">
        <f t="shared" si="4"/>
        <v>190</v>
      </c>
      <c r="B191" s="9" t="s">
        <v>201</v>
      </c>
      <c r="C191" t="b">
        <v>0</v>
      </c>
      <c r="D191" t="b">
        <v>0</v>
      </c>
      <c r="E191" t="b">
        <v>0</v>
      </c>
      <c r="J191" t="b">
        <f t="shared" si="5"/>
        <v>0</v>
      </c>
    </row>
    <row r="192" spans="1:10">
      <c r="A192" s="7">
        <f t="shared" si="4"/>
        <v>191</v>
      </c>
      <c r="B192" s="9" t="s">
        <v>202</v>
      </c>
      <c r="C192" t="b">
        <v>0</v>
      </c>
      <c r="D192" t="b">
        <v>0</v>
      </c>
      <c r="E192" t="b">
        <v>0</v>
      </c>
      <c r="J192" t="b">
        <f t="shared" si="5"/>
        <v>0</v>
      </c>
    </row>
    <row r="193" spans="1:10">
      <c r="A193" s="7">
        <f t="shared" si="4"/>
        <v>192</v>
      </c>
      <c r="B193" s="9" t="s">
        <v>203</v>
      </c>
      <c r="C193" t="b">
        <v>0</v>
      </c>
      <c r="D193" t="b">
        <v>0</v>
      </c>
      <c r="E193" t="b">
        <v>0</v>
      </c>
      <c r="J193" t="b">
        <f t="shared" si="5"/>
        <v>0</v>
      </c>
    </row>
    <row r="194" spans="1:10">
      <c r="A194" s="7">
        <f t="shared" si="4"/>
        <v>193</v>
      </c>
      <c r="B194" s="9" t="s">
        <v>204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J194" t="b">
        <f t="shared" si="5"/>
        <v>0</v>
      </c>
    </row>
    <row r="195" spans="1:10">
      <c r="A195" s="7">
        <f t="shared" si="4"/>
        <v>194</v>
      </c>
      <c r="B195" s="9" t="s">
        <v>205</v>
      </c>
      <c r="C195" t="b">
        <v>0</v>
      </c>
      <c r="D195" t="b">
        <v>0</v>
      </c>
      <c r="E195" t="b">
        <v>0</v>
      </c>
      <c r="J195" t="b">
        <f t="shared" si="5"/>
        <v>0</v>
      </c>
    </row>
    <row r="196" spans="1:10">
      <c r="A196" s="7">
        <f t="shared" si="4"/>
        <v>195</v>
      </c>
      <c r="B196" s="9" t="s">
        <v>206</v>
      </c>
      <c r="E196" t="b">
        <v>0</v>
      </c>
      <c r="J196" t="b">
        <f t="shared" si="5"/>
        <v>0</v>
      </c>
    </row>
    <row r="197" spans="1:10">
      <c r="A197" s="7">
        <f t="shared" si="4"/>
        <v>196</v>
      </c>
      <c r="B197" s="9" t="s">
        <v>207</v>
      </c>
      <c r="C197" t="b">
        <v>0</v>
      </c>
      <c r="D197" t="b">
        <v>0</v>
      </c>
      <c r="E197" t="b">
        <v>0</v>
      </c>
      <c r="J197" t="b">
        <f t="shared" si="5"/>
        <v>0</v>
      </c>
    </row>
    <row r="198" spans="1:10">
      <c r="A198" s="7">
        <f t="shared" si="4"/>
        <v>197</v>
      </c>
      <c r="B198" s="9" t="s">
        <v>208</v>
      </c>
      <c r="C198" t="b">
        <v>0</v>
      </c>
      <c r="D198" t="b">
        <v>0</v>
      </c>
      <c r="E198" t="b">
        <v>0</v>
      </c>
      <c r="J198" t="b">
        <f t="shared" si="5"/>
        <v>0</v>
      </c>
    </row>
    <row r="199" spans="1:10">
      <c r="A199" s="7">
        <f t="shared" si="4"/>
        <v>198</v>
      </c>
      <c r="B199" s="9" t="s">
        <v>209</v>
      </c>
      <c r="F199" t="b">
        <v>0</v>
      </c>
      <c r="G199" t="b">
        <v>0</v>
      </c>
      <c r="J199" t="b">
        <f t="shared" si="5"/>
        <v>0</v>
      </c>
    </row>
    <row r="200" spans="1:10">
      <c r="A200" s="7">
        <f t="shared" si="4"/>
        <v>199</v>
      </c>
      <c r="B200" s="9" t="s">
        <v>210</v>
      </c>
      <c r="C200" t="b">
        <v>0</v>
      </c>
      <c r="D200" t="b">
        <v>0</v>
      </c>
      <c r="E200" t="b">
        <v>0</v>
      </c>
      <c r="J200" t="b">
        <f t="shared" si="5"/>
        <v>0</v>
      </c>
    </row>
    <row r="201" spans="1:10">
      <c r="A201" s="7">
        <f t="shared" si="4"/>
        <v>200</v>
      </c>
      <c r="B201" s="9" t="s">
        <v>211</v>
      </c>
      <c r="C201" t="b">
        <v>0</v>
      </c>
      <c r="D201" t="b">
        <v>0</v>
      </c>
      <c r="E201" t="b">
        <v>0</v>
      </c>
      <c r="J201" t="b">
        <f t="shared" si="5"/>
        <v>0</v>
      </c>
    </row>
    <row r="202" spans="1:10">
      <c r="A202" s="7">
        <f t="shared" si="4"/>
        <v>201</v>
      </c>
      <c r="B202" s="9" t="s">
        <v>212</v>
      </c>
      <c r="C202" t="b">
        <v>0</v>
      </c>
      <c r="D202" t="b">
        <v>0</v>
      </c>
      <c r="E202" t="b">
        <v>0</v>
      </c>
      <c r="I202" t="b">
        <v>0</v>
      </c>
      <c r="J202" t="b">
        <f t="shared" si="5"/>
        <v>0</v>
      </c>
    </row>
    <row r="203" spans="1:10">
      <c r="A203" s="7">
        <f t="shared" si="4"/>
        <v>202</v>
      </c>
      <c r="B203" s="9" t="s">
        <v>213</v>
      </c>
      <c r="C203" t="b">
        <v>0</v>
      </c>
      <c r="D203" t="b">
        <v>0</v>
      </c>
      <c r="E203" t="b">
        <v>0</v>
      </c>
      <c r="J203" t="b">
        <f t="shared" si="5"/>
        <v>0</v>
      </c>
    </row>
    <row r="204" spans="1:10">
      <c r="A204" s="7">
        <f t="shared" si="4"/>
        <v>203</v>
      </c>
      <c r="B204" s="9" t="s">
        <v>214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J204" t="b">
        <f t="shared" si="5"/>
        <v>0</v>
      </c>
    </row>
    <row r="205" spans="1:10">
      <c r="A205" s="7">
        <f t="shared" si="4"/>
        <v>204</v>
      </c>
      <c r="B205" s="9" t="s">
        <v>215</v>
      </c>
      <c r="C205" t="b">
        <v>0</v>
      </c>
      <c r="D205" t="b">
        <v>0</v>
      </c>
      <c r="E205" t="b">
        <v>0</v>
      </c>
      <c r="J205" t="b">
        <f t="shared" si="5"/>
        <v>0</v>
      </c>
    </row>
    <row r="206" spans="1:10">
      <c r="A206" s="7">
        <f t="shared" si="4"/>
        <v>205</v>
      </c>
      <c r="B206" s="9" t="s">
        <v>216</v>
      </c>
      <c r="C206" t="b">
        <v>0</v>
      </c>
      <c r="D206" t="b">
        <v>0</v>
      </c>
      <c r="E206" t="b">
        <v>0</v>
      </c>
      <c r="J206" t="b">
        <f t="shared" si="5"/>
        <v>0</v>
      </c>
    </row>
    <row r="207" spans="1:10">
      <c r="A207" s="7">
        <f t="shared" si="4"/>
        <v>206</v>
      </c>
      <c r="B207" s="9" t="s">
        <v>217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J207" t="b">
        <f t="shared" si="5"/>
        <v>0</v>
      </c>
    </row>
    <row r="208" spans="1:10">
      <c r="A208" s="7">
        <f t="shared" si="4"/>
        <v>207</v>
      </c>
      <c r="B208" s="9" t="s">
        <v>218</v>
      </c>
      <c r="C208" t="b">
        <v>0</v>
      </c>
      <c r="D208" t="b">
        <v>0</v>
      </c>
      <c r="E208" t="b">
        <v>0</v>
      </c>
      <c r="J208" t="b">
        <f t="shared" si="5"/>
        <v>0</v>
      </c>
    </row>
    <row r="209" spans="1:10">
      <c r="A209" s="11" t="s">
        <v>219</v>
      </c>
      <c r="B209" s="11"/>
      <c r="C209">
        <f t="shared" ref="C209:J209" si="6">COUNTIF(C2:C208,TRUE)</f>
        <v>0</v>
      </c>
      <c r="D209">
        <f t="shared" si="6"/>
        <v>0</v>
      </c>
      <c r="E209">
        <f t="shared" si="6"/>
        <v>0</v>
      </c>
      <c r="F209">
        <f t="shared" si="6"/>
        <v>0</v>
      </c>
      <c r="G209">
        <f t="shared" si="6"/>
        <v>0</v>
      </c>
      <c r="H209">
        <f t="shared" si="6"/>
        <v>0</v>
      </c>
      <c r="I209">
        <f t="shared" si="6"/>
        <v>0</v>
      </c>
      <c r="J209">
        <f t="shared" si="6"/>
        <v>0</v>
      </c>
    </row>
    <row r="210" spans="1:10">
      <c r="A210" s="11" t="s">
        <v>220</v>
      </c>
      <c r="B210" s="11"/>
      <c r="C210">
        <f t="shared" ref="C210:J210" si="7">COUNTIF(C2:C208,TRUE)+COUNTIF(C2:C208,FALSE)</f>
        <v>186</v>
      </c>
      <c r="D210">
        <f t="shared" si="7"/>
        <v>181</v>
      </c>
      <c r="E210">
        <f t="shared" si="7"/>
        <v>187</v>
      </c>
      <c r="F210">
        <f t="shared" si="7"/>
        <v>48</v>
      </c>
      <c r="G210">
        <f t="shared" si="7"/>
        <v>49</v>
      </c>
      <c r="H210">
        <f t="shared" si="7"/>
        <v>21</v>
      </c>
      <c r="I210">
        <f t="shared" si="7"/>
        <v>4</v>
      </c>
      <c r="J210">
        <f t="shared" si="7"/>
        <v>207</v>
      </c>
    </row>
  </sheetData>
  <mergeCells count="2">
    <mergeCell ref="A209:B209"/>
    <mergeCell ref="A210:B210"/>
  </mergeCells>
  <pageMargins left="0.7" right="0.7" top="0.75" bottom="0.75" header="0.3" footer="0.3"/>
  <pageSetup paperSize="9" scale="60" fitToWidth="0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1"/>
  <sheetViews>
    <sheetView topLeftCell="A203" workbookViewId="0">
      <selection activeCell="J220" sqref="J220"/>
    </sheetView>
  </sheetViews>
  <sheetFormatPr defaultColWidth="9.15833333333333" defaultRowHeight="17.6"/>
  <cols>
    <col min="1" max="1" width="28.6583333333333" style="1" customWidth="1"/>
    <col min="2" max="2" width="18.3333333333333" style="1" customWidth="1"/>
    <col min="3" max="3" width="19.8333333333333" style="1" customWidth="1"/>
    <col min="4" max="4" width="22.3333333333333" style="1" customWidth="1"/>
    <col min="5" max="5" width="19.3333333333333" style="1" customWidth="1"/>
    <col min="6" max="6" width="18.6583333333333" style="1" customWidth="1"/>
    <col min="7" max="7" width="20.8333333333333" style="1" customWidth="1"/>
    <col min="8" max="8" width="19.6583333333333" style="1" customWidth="1"/>
    <col min="9" max="9" width="22.3333333333333" style="1" customWidth="1"/>
    <col min="10" max="10" width="20.8333333333333" style="1" customWidth="1"/>
    <col min="11" max="11" width="11.2" style="1"/>
    <col min="12" max="16384" width="9.15833333333333" style="1"/>
  </cols>
  <sheetData>
    <row r="1" spans="1:10">
      <c r="A1" s="2" t="s">
        <v>221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  <c r="I1" s="2" t="s">
        <v>229</v>
      </c>
      <c r="J1" s="2" t="s">
        <v>230</v>
      </c>
    </row>
    <row r="2" spans="1:10">
      <c r="A2" s="1" t="s">
        <v>12</v>
      </c>
      <c r="B2" s="1">
        <v>0.997428</v>
      </c>
      <c r="C2" s="1">
        <v>1.00019</v>
      </c>
      <c r="D2" s="1">
        <v>0.994051</v>
      </c>
      <c r="E2" s="1">
        <v>0</v>
      </c>
      <c r="F2" s="1">
        <v>0</v>
      </c>
      <c r="G2" s="1">
        <v>0</v>
      </c>
      <c r="H2" s="1">
        <v>0</v>
      </c>
      <c r="I2" s="1" t="s">
        <v>231</v>
      </c>
      <c r="J2" s="1">
        <f>AVERAGEIF(B2:H2,"&gt;0")</f>
        <v>0.997223</v>
      </c>
    </row>
    <row r="3" spans="1:10">
      <c r="A3" s="1" t="s">
        <v>13</v>
      </c>
      <c r="B3" s="1">
        <v>0.993098</v>
      </c>
      <c r="C3" s="1">
        <v>1.021864</v>
      </c>
      <c r="D3" s="1">
        <v>0.9931</v>
      </c>
      <c r="E3" s="1">
        <v>0</v>
      </c>
      <c r="F3" s="1">
        <v>0</v>
      </c>
      <c r="G3" s="1">
        <v>0</v>
      </c>
      <c r="H3" s="1">
        <v>0</v>
      </c>
      <c r="I3" s="1" t="s">
        <v>231</v>
      </c>
      <c r="J3" s="1">
        <f t="shared" ref="J3:J41" si="0">AVERAGEIF(B3:H3,"&gt;0")</f>
        <v>1.00268733333333</v>
      </c>
    </row>
    <row r="4" spans="1:10">
      <c r="A4" s="1" t="s">
        <v>14</v>
      </c>
      <c r="B4" s="1">
        <v>0.979276</v>
      </c>
      <c r="C4" s="1">
        <v>0.976383</v>
      </c>
      <c r="D4" s="1">
        <v>0.979472</v>
      </c>
      <c r="E4" s="1">
        <v>0</v>
      </c>
      <c r="F4" s="1">
        <v>0</v>
      </c>
      <c r="G4" s="1">
        <v>0</v>
      </c>
      <c r="H4" s="1">
        <v>0</v>
      </c>
      <c r="I4" s="1" t="s">
        <v>231</v>
      </c>
      <c r="J4" s="1">
        <f t="shared" si="0"/>
        <v>0.978377</v>
      </c>
    </row>
    <row r="5" spans="1:10">
      <c r="A5" s="1" t="s">
        <v>15</v>
      </c>
      <c r="B5" s="1">
        <v>0.987009</v>
      </c>
      <c r="C5" s="1">
        <v>1.000726</v>
      </c>
      <c r="D5" s="1">
        <v>1.002759</v>
      </c>
      <c r="E5" s="1">
        <v>0</v>
      </c>
      <c r="F5" s="1">
        <v>0</v>
      </c>
      <c r="G5" s="1">
        <v>0</v>
      </c>
      <c r="H5" s="1">
        <v>0</v>
      </c>
      <c r="I5" s="1" t="s">
        <v>231</v>
      </c>
      <c r="J5" s="1">
        <f t="shared" si="0"/>
        <v>0.996831333333333</v>
      </c>
    </row>
    <row r="6" spans="1:10">
      <c r="A6" s="1" t="s">
        <v>16</v>
      </c>
      <c r="B6" s="1">
        <v>1.028849</v>
      </c>
      <c r="C6" s="1">
        <v>1.008954</v>
      </c>
      <c r="D6" s="1">
        <v>0.980802</v>
      </c>
      <c r="E6" s="1">
        <v>0</v>
      </c>
      <c r="F6" s="1">
        <v>0</v>
      </c>
      <c r="G6" s="1">
        <v>0</v>
      </c>
      <c r="H6" s="1">
        <v>0</v>
      </c>
      <c r="I6" s="1" t="s">
        <v>231</v>
      </c>
      <c r="J6" s="1">
        <f t="shared" si="0"/>
        <v>1.00620166666667</v>
      </c>
    </row>
    <row r="7" spans="1:10">
      <c r="A7" s="1" t="s">
        <v>17</v>
      </c>
      <c r="B7" s="1">
        <v>1.002997</v>
      </c>
      <c r="C7" s="1">
        <v>0.976471</v>
      </c>
      <c r="D7" s="1">
        <v>1.031434</v>
      </c>
      <c r="E7" s="1">
        <v>0</v>
      </c>
      <c r="F7" s="1">
        <v>0</v>
      </c>
      <c r="G7" s="1">
        <v>0</v>
      </c>
      <c r="H7" s="1">
        <v>0</v>
      </c>
      <c r="I7" s="1" t="s">
        <v>231</v>
      </c>
      <c r="J7" s="1">
        <f t="shared" si="0"/>
        <v>1.003634</v>
      </c>
    </row>
    <row r="8" spans="1:10">
      <c r="A8" s="1" t="s">
        <v>18</v>
      </c>
      <c r="B8" s="1">
        <v>1.061121</v>
      </c>
      <c r="C8" s="1">
        <v>0.940406</v>
      </c>
      <c r="D8" s="1">
        <v>1.193117</v>
      </c>
      <c r="E8" s="1">
        <v>0</v>
      </c>
      <c r="F8" s="1">
        <v>0</v>
      </c>
      <c r="G8" s="1">
        <v>0</v>
      </c>
      <c r="H8" s="1">
        <v>0</v>
      </c>
      <c r="I8" s="1" t="s">
        <v>231</v>
      </c>
      <c r="J8" s="1">
        <f t="shared" si="0"/>
        <v>1.06488133333333</v>
      </c>
    </row>
    <row r="9" spans="1:10">
      <c r="A9" s="1" t="s">
        <v>19</v>
      </c>
      <c r="B9" s="1">
        <v>1.135432</v>
      </c>
      <c r="C9" s="1">
        <v>1.230026</v>
      </c>
      <c r="D9" s="1">
        <v>1.131239</v>
      </c>
      <c r="E9" s="1">
        <v>0</v>
      </c>
      <c r="F9" s="1">
        <v>0</v>
      </c>
      <c r="G9" s="1">
        <v>0</v>
      </c>
      <c r="H9" s="1">
        <v>0</v>
      </c>
      <c r="I9" s="1" t="s">
        <v>231</v>
      </c>
      <c r="J9" s="1">
        <f t="shared" si="0"/>
        <v>1.16556566666667</v>
      </c>
    </row>
    <row r="10" spans="1:10">
      <c r="A10" s="1" t="s">
        <v>20</v>
      </c>
      <c r="B10" s="1">
        <v>1.207143</v>
      </c>
      <c r="C10" s="1">
        <v>1.192857</v>
      </c>
      <c r="D10" s="1">
        <v>1.267857</v>
      </c>
      <c r="E10" s="1">
        <v>0</v>
      </c>
      <c r="F10" s="1">
        <v>0</v>
      </c>
      <c r="G10" s="1">
        <v>0</v>
      </c>
      <c r="H10" s="1">
        <v>0</v>
      </c>
      <c r="I10" s="1" t="s">
        <v>231</v>
      </c>
      <c r="J10" s="1">
        <f t="shared" si="0"/>
        <v>1.222619</v>
      </c>
    </row>
    <row r="11" spans="1:10">
      <c r="A11" s="1" t="s">
        <v>21</v>
      </c>
      <c r="B11" s="1">
        <v>0.814682</v>
      </c>
      <c r="C11" s="1">
        <v>0.820194</v>
      </c>
      <c r="D11" s="1">
        <v>0.833145</v>
      </c>
      <c r="E11" s="1">
        <v>0</v>
      </c>
      <c r="F11" s="1">
        <v>0</v>
      </c>
      <c r="G11" s="1">
        <v>0</v>
      </c>
      <c r="H11" s="1">
        <v>0</v>
      </c>
      <c r="I11" s="1" t="s">
        <v>231</v>
      </c>
      <c r="J11" s="1">
        <f t="shared" si="0"/>
        <v>0.822673666666667</v>
      </c>
    </row>
    <row r="12" spans="1:10">
      <c r="A12" s="1" t="s">
        <v>22</v>
      </c>
      <c r="B12" s="1">
        <v>5.972848</v>
      </c>
      <c r="C12" s="1">
        <v>6.604341</v>
      </c>
      <c r="D12" s="1">
        <v>5.982542</v>
      </c>
      <c r="E12" s="1">
        <v>10.432274</v>
      </c>
      <c r="F12" s="1">
        <v>7.436281</v>
      </c>
      <c r="G12" s="1">
        <v>0</v>
      </c>
      <c r="H12" s="1">
        <v>0</v>
      </c>
      <c r="I12" s="1" t="s">
        <v>231</v>
      </c>
      <c r="J12" s="1">
        <f t="shared" si="0"/>
        <v>7.2856572</v>
      </c>
    </row>
    <row r="13" spans="1:10">
      <c r="A13" s="1" t="s">
        <v>23</v>
      </c>
      <c r="B13" s="1">
        <v>0.855021</v>
      </c>
      <c r="C13" s="1">
        <v>0.781071</v>
      </c>
      <c r="D13" s="1">
        <v>0.853862</v>
      </c>
      <c r="E13" s="1">
        <v>0</v>
      </c>
      <c r="F13" s="1">
        <v>0</v>
      </c>
      <c r="G13" s="1">
        <v>0</v>
      </c>
      <c r="H13" s="1">
        <v>0</v>
      </c>
      <c r="I13" s="1" t="s">
        <v>231</v>
      </c>
      <c r="J13" s="1">
        <f t="shared" si="0"/>
        <v>0.829984666666667</v>
      </c>
    </row>
    <row r="14" spans="1:10">
      <c r="A14" s="1" t="s">
        <v>24</v>
      </c>
      <c r="B14" s="1">
        <v>0</v>
      </c>
      <c r="C14" s="1">
        <v>0.970987</v>
      </c>
      <c r="D14" s="1">
        <v>0</v>
      </c>
      <c r="E14" s="1">
        <v>1.397023</v>
      </c>
      <c r="F14" s="1">
        <v>1.349528</v>
      </c>
      <c r="G14" s="1">
        <v>2.308904</v>
      </c>
      <c r="H14" s="1">
        <v>2.148525</v>
      </c>
      <c r="I14" s="1" t="s">
        <v>231</v>
      </c>
      <c r="J14" s="1">
        <f t="shared" si="0"/>
        <v>1.6349934</v>
      </c>
    </row>
    <row r="15" spans="1:10">
      <c r="A15" s="1" t="s">
        <v>25</v>
      </c>
      <c r="B15" s="1">
        <v>0.85986</v>
      </c>
      <c r="C15" s="1">
        <v>0.843762</v>
      </c>
      <c r="D15" s="1">
        <v>0.86999</v>
      </c>
      <c r="E15" s="1">
        <v>0</v>
      </c>
      <c r="F15" s="1">
        <v>0</v>
      </c>
      <c r="G15" s="1">
        <v>0</v>
      </c>
      <c r="H15" s="1">
        <v>0</v>
      </c>
      <c r="I15" s="1" t="s">
        <v>231</v>
      </c>
      <c r="J15" s="1">
        <f t="shared" si="0"/>
        <v>0.857870666666667</v>
      </c>
    </row>
    <row r="16" spans="1:10">
      <c r="A16" s="1" t="s">
        <v>26</v>
      </c>
      <c r="B16" s="1">
        <v>6.391151</v>
      </c>
      <c r="C16" s="1">
        <v>4.375192</v>
      </c>
      <c r="D16" s="1">
        <v>6.597918</v>
      </c>
      <c r="E16" s="1">
        <v>0</v>
      </c>
      <c r="F16" s="1">
        <v>0</v>
      </c>
      <c r="G16" s="1">
        <v>0</v>
      </c>
      <c r="H16" s="1">
        <v>0</v>
      </c>
      <c r="I16" s="1" t="s">
        <v>231</v>
      </c>
      <c r="J16" s="1">
        <f t="shared" si="0"/>
        <v>5.788087</v>
      </c>
    </row>
    <row r="17" spans="1:10">
      <c r="A17" s="1" t="s">
        <v>27</v>
      </c>
      <c r="B17" s="1">
        <v>1.775843</v>
      </c>
      <c r="C17" s="1">
        <v>1.747238</v>
      </c>
      <c r="D17" s="1">
        <v>1.77581</v>
      </c>
      <c r="E17" s="1">
        <v>0</v>
      </c>
      <c r="F17" s="1">
        <v>0</v>
      </c>
      <c r="G17" s="1">
        <v>0</v>
      </c>
      <c r="H17" s="1">
        <v>0</v>
      </c>
      <c r="I17" s="1" t="s">
        <v>231</v>
      </c>
      <c r="J17" s="1">
        <f t="shared" si="0"/>
        <v>1.766297</v>
      </c>
    </row>
    <row r="18" spans="1:10">
      <c r="A18" s="1" t="s">
        <v>28</v>
      </c>
      <c r="B18" s="1">
        <v>0.753475</v>
      </c>
      <c r="C18" s="1">
        <v>0.723528</v>
      </c>
      <c r="D18" s="1">
        <v>0.684757</v>
      </c>
      <c r="E18" s="1">
        <v>0</v>
      </c>
      <c r="F18" s="1">
        <v>0</v>
      </c>
      <c r="G18" s="1">
        <v>0</v>
      </c>
      <c r="H18" s="1">
        <v>0</v>
      </c>
      <c r="I18" s="1" t="s">
        <v>231</v>
      </c>
      <c r="J18" s="1">
        <f t="shared" si="0"/>
        <v>0.720586666666667</v>
      </c>
    </row>
    <row r="19" spans="1:10">
      <c r="A19" s="1" t="s">
        <v>29</v>
      </c>
      <c r="B19" s="1">
        <v>0.73906</v>
      </c>
      <c r="C19" s="1">
        <v>0.776986</v>
      </c>
      <c r="D19" s="1">
        <v>0.747119</v>
      </c>
      <c r="E19" s="1">
        <v>0</v>
      </c>
      <c r="F19" s="1">
        <v>0</v>
      </c>
      <c r="G19" s="1">
        <v>0</v>
      </c>
      <c r="H19" s="1">
        <v>0</v>
      </c>
      <c r="I19" s="1" t="s">
        <v>231</v>
      </c>
      <c r="J19" s="1">
        <f t="shared" si="0"/>
        <v>0.754388333333333</v>
      </c>
    </row>
    <row r="20" spans="1:10">
      <c r="A20" s="1" t="s">
        <v>30</v>
      </c>
      <c r="B20" s="1">
        <v>0.939685</v>
      </c>
      <c r="C20" s="1">
        <v>0.996932</v>
      </c>
      <c r="D20" s="1">
        <v>0.93566</v>
      </c>
      <c r="E20" s="1">
        <v>0</v>
      </c>
      <c r="F20" s="1">
        <v>0</v>
      </c>
      <c r="G20" s="1">
        <v>0</v>
      </c>
      <c r="H20" s="1">
        <v>0</v>
      </c>
      <c r="I20" s="1" t="s">
        <v>231</v>
      </c>
      <c r="J20" s="1">
        <f t="shared" si="0"/>
        <v>0.957425666666667</v>
      </c>
    </row>
    <row r="21" spans="1:10">
      <c r="A21" s="1" t="s">
        <v>32</v>
      </c>
      <c r="B21" s="1">
        <v>2.054024</v>
      </c>
      <c r="C21" s="1">
        <v>0.999819</v>
      </c>
      <c r="D21" s="1">
        <v>2.038557</v>
      </c>
      <c r="E21" s="1">
        <v>0</v>
      </c>
      <c r="F21" s="1">
        <v>0</v>
      </c>
      <c r="G21" s="1">
        <v>0</v>
      </c>
      <c r="H21" s="1">
        <v>0</v>
      </c>
      <c r="I21" s="1" t="s">
        <v>231</v>
      </c>
      <c r="J21" s="1">
        <f t="shared" si="0"/>
        <v>1.69746666666667</v>
      </c>
    </row>
    <row r="22" spans="1:10">
      <c r="A22" s="1" t="s">
        <v>33</v>
      </c>
      <c r="B22" s="1">
        <v>0</v>
      </c>
      <c r="C22" s="1">
        <v>0</v>
      </c>
      <c r="D22" s="1">
        <v>0</v>
      </c>
      <c r="E22" s="1">
        <v>1.00587</v>
      </c>
      <c r="F22" s="1">
        <v>0.975469</v>
      </c>
      <c r="G22" s="1">
        <v>0.958451</v>
      </c>
      <c r="H22" s="1">
        <v>0</v>
      </c>
      <c r="I22" s="1" t="s">
        <v>231</v>
      </c>
      <c r="J22" s="1">
        <f t="shared" si="0"/>
        <v>0.97993</v>
      </c>
    </row>
    <row r="23" spans="1:10">
      <c r="A23" s="1" t="s">
        <v>34</v>
      </c>
      <c r="B23" s="1">
        <v>0</v>
      </c>
      <c r="C23" s="1">
        <v>0</v>
      </c>
      <c r="D23" s="1">
        <v>0</v>
      </c>
      <c r="E23" s="1">
        <v>1.017451</v>
      </c>
      <c r="F23" s="1">
        <v>0.99945</v>
      </c>
      <c r="G23" s="1">
        <v>0.96987</v>
      </c>
      <c r="H23" s="1">
        <v>0</v>
      </c>
      <c r="I23" s="1" t="s">
        <v>231</v>
      </c>
      <c r="J23" s="1">
        <f t="shared" si="0"/>
        <v>0.995590333333333</v>
      </c>
    </row>
    <row r="24" spans="1:10">
      <c r="A24" s="1" t="s">
        <v>35</v>
      </c>
      <c r="B24" s="1">
        <v>0</v>
      </c>
      <c r="C24" s="1">
        <v>0</v>
      </c>
      <c r="D24" s="1">
        <v>0</v>
      </c>
      <c r="E24" s="1">
        <v>0.999899</v>
      </c>
      <c r="F24" s="1">
        <v>1.029922</v>
      </c>
      <c r="G24" s="1">
        <v>0</v>
      </c>
      <c r="H24" s="1">
        <v>0</v>
      </c>
      <c r="I24" s="1" t="s">
        <v>231</v>
      </c>
      <c r="J24" s="1">
        <f t="shared" si="0"/>
        <v>1.0149105</v>
      </c>
    </row>
    <row r="25" spans="1:10">
      <c r="A25" s="1" t="s">
        <v>36</v>
      </c>
      <c r="B25" s="1">
        <v>0</v>
      </c>
      <c r="C25" s="1">
        <v>0</v>
      </c>
      <c r="D25" s="1">
        <v>0</v>
      </c>
      <c r="E25" s="1">
        <v>0.968982</v>
      </c>
      <c r="F25" s="1">
        <v>1.000194</v>
      </c>
      <c r="G25" s="1">
        <v>0</v>
      </c>
      <c r="H25" s="1">
        <v>0</v>
      </c>
      <c r="I25" s="1" t="s">
        <v>231</v>
      </c>
      <c r="J25" s="1">
        <f t="shared" si="0"/>
        <v>0.984588</v>
      </c>
    </row>
    <row r="26" spans="1:10">
      <c r="A26" s="1" t="s">
        <v>37</v>
      </c>
      <c r="B26" s="1">
        <v>0</v>
      </c>
      <c r="C26" s="1">
        <v>0</v>
      </c>
      <c r="D26" s="1">
        <v>0</v>
      </c>
      <c r="E26" s="1">
        <v>0.992717</v>
      </c>
      <c r="F26" s="1">
        <v>0.97953</v>
      </c>
      <c r="G26" s="1">
        <v>0</v>
      </c>
      <c r="H26" s="1">
        <v>0</v>
      </c>
      <c r="I26" s="1" t="s">
        <v>231</v>
      </c>
      <c r="J26" s="1">
        <f t="shared" si="0"/>
        <v>0.9861235</v>
      </c>
    </row>
    <row r="27" spans="1:10">
      <c r="A27" s="1" t="s">
        <v>38</v>
      </c>
      <c r="B27" s="1">
        <v>0</v>
      </c>
      <c r="C27" s="1">
        <v>0</v>
      </c>
      <c r="D27" s="1">
        <v>0</v>
      </c>
      <c r="E27" s="1">
        <v>1.0034</v>
      </c>
      <c r="F27" s="1">
        <v>0.999126</v>
      </c>
      <c r="G27" s="1">
        <v>0.963674</v>
      </c>
      <c r="H27" s="1">
        <v>0</v>
      </c>
      <c r="I27" s="1" t="s">
        <v>231</v>
      </c>
      <c r="J27" s="1">
        <f t="shared" si="0"/>
        <v>0.988733333333333</v>
      </c>
    </row>
    <row r="28" spans="1:10">
      <c r="A28" s="1" t="s">
        <v>39</v>
      </c>
      <c r="B28" s="1">
        <v>0</v>
      </c>
      <c r="C28" s="1">
        <v>0</v>
      </c>
      <c r="D28" s="1">
        <v>0</v>
      </c>
      <c r="E28" s="1">
        <v>1.001709</v>
      </c>
      <c r="F28" s="1">
        <v>0.999262</v>
      </c>
      <c r="G28" s="1">
        <v>0.985897</v>
      </c>
      <c r="H28" s="1">
        <v>0</v>
      </c>
      <c r="I28" s="1" t="s">
        <v>231</v>
      </c>
      <c r="J28" s="1">
        <f t="shared" si="0"/>
        <v>0.995622666666667</v>
      </c>
    </row>
    <row r="29" spans="1:10">
      <c r="A29" s="1" t="s">
        <v>40</v>
      </c>
      <c r="B29" s="1">
        <v>0</v>
      </c>
      <c r="C29" s="1">
        <v>0</v>
      </c>
      <c r="D29" s="1">
        <v>0</v>
      </c>
      <c r="E29" s="1">
        <v>0.972533</v>
      </c>
      <c r="F29" s="1">
        <v>0.997381</v>
      </c>
      <c r="G29" s="1">
        <v>0</v>
      </c>
      <c r="H29" s="1">
        <v>0</v>
      </c>
      <c r="I29" s="1" t="s">
        <v>231</v>
      </c>
      <c r="J29" s="1">
        <f t="shared" si="0"/>
        <v>0.984957</v>
      </c>
    </row>
    <row r="30" spans="1:10">
      <c r="A30" s="1" t="s">
        <v>41</v>
      </c>
      <c r="B30" s="1">
        <v>0.965789</v>
      </c>
      <c r="C30" s="1">
        <v>1.420157</v>
      </c>
      <c r="D30" s="1">
        <v>0.959095</v>
      </c>
      <c r="E30" s="1">
        <v>0</v>
      </c>
      <c r="F30" s="1">
        <v>0</v>
      </c>
      <c r="G30" s="1">
        <v>0</v>
      </c>
      <c r="H30" s="1">
        <v>0</v>
      </c>
      <c r="I30" s="1" t="s">
        <v>231</v>
      </c>
      <c r="J30" s="1">
        <f t="shared" si="0"/>
        <v>1.11501366666667</v>
      </c>
    </row>
    <row r="31" spans="1:10">
      <c r="A31" s="1" t="s">
        <v>42</v>
      </c>
      <c r="B31" s="1">
        <v>1.163507</v>
      </c>
      <c r="C31" s="1">
        <v>1.145825</v>
      </c>
      <c r="D31" s="1">
        <v>1.081364</v>
      </c>
      <c r="E31" s="1">
        <v>1.167078</v>
      </c>
      <c r="F31" s="1">
        <v>1.074071</v>
      </c>
      <c r="G31" s="1">
        <v>0</v>
      </c>
      <c r="H31" s="1">
        <v>0</v>
      </c>
      <c r="I31" s="1" t="s">
        <v>231</v>
      </c>
      <c r="J31" s="1">
        <f t="shared" si="0"/>
        <v>1.126369</v>
      </c>
    </row>
    <row r="32" spans="1:10">
      <c r="A32" s="1" t="s">
        <v>43</v>
      </c>
      <c r="B32" s="1">
        <v>1.074781</v>
      </c>
      <c r="C32" s="1">
        <v>1.003741</v>
      </c>
      <c r="D32" s="1">
        <v>1.012424</v>
      </c>
      <c r="E32" s="1">
        <v>0</v>
      </c>
      <c r="F32" s="1">
        <v>0</v>
      </c>
      <c r="G32" s="1">
        <v>0</v>
      </c>
      <c r="H32" s="1">
        <v>0</v>
      </c>
      <c r="I32" s="1" t="s">
        <v>231</v>
      </c>
      <c r="J32" s="1">
        <f t="shared" si="0"/>
        <v>1.03031533333333</v>
      </c>
    </row>
    <row r="33" spans="1:10">
      <c r="A33" s="1" t="s">
        <v>44</v>
      </c>
      <c r="B33" s="1">
        <v>1.027783</v>
      </c>
      <c r="C33" s="1">
        <v>1.024071</v>
      </c>
      <c r="D33" s="1">
        <v>1.027433</v>
      </c>
      <c r="E33" s="1">
        <v>0</v>
      </c>
      <c r="F33" s="1">
        <v>0</v>
      </c>
      <c r="G33" s="1">
        <v>0</v>
      </c>
      <c r="H33" s="1">
        <v>0</v>
      </c>
      <c r="I33" s="1" t="s">
        <v>231</v>
      </c>
      <c r="J33" s="1">
        <f t="shared" si="0"/>
        <v>1.026429</v>
      </c>
    </row>
    <row r="34" spans="1:10">
      <c r="A34" s="1" t="s">
        <v>45</v>
      </c>
      <c r="B34" s="1">
        <v>1.004983</v>
      </c>
      <c r="C34" s="1">
        <v>1.033826</v>
      </c>
      <c r="D34" s="1">
        <v>1.003097</v>
      </c>
      <c r="E34" s="1">
        <v>0</v>
      </c>
      <c r="F34" s="1">
        <v>0</v>
      </c>
      <c r="G34" s="1">
        <v>0</v>
      </c>
      <c r="H34" s="1">
        <v>0</v>
      </c>
      <c r="I34" s="1" t="s">
        <v>231</v>
      </c>
      <c r="J34" s="1">
        <f t="shared" si="0"/>
        <v>1.01396866666667</v>
      </c>
    </row>
    <row r="35" spans="1:10">
      <c r="A35" s="1" t="s">
        <v>46</v>
      </c>
      <c r="B35" s="1">
        <v>1.014891</v>
      </c>
      <c r="C35" s="1">
        <v>1.014859</v>
      </c>
      <c r="D35" s="1">
        <v>1.014021</v>
      </c>
      <c r="E35" s="1">
        <v>0</v>
      </c>
      <c r="F35" s="1">
        <v>0</v>
      </c>
      <c r="G35" s="1">
        <v>0</v>
      </c>
      <c r="H35" s="1">
        <v>0</v>
      </c>
      <c r="I35" s="1" t="s">
        <v>231</v>
      </c>
      <c r="J35" s="1">
        <f t="shared" si="0"/>
        <v>1.01459033333333</v>
      </c>
    </row>
    <row r="36" spans="1:10">
      <c r="A36" s="1" t="s">
        <v>232</v>
      </c>
      <c r="B36" s="1">
        <v>0.999827</v>
      </c>
      <c r="C36" s="1">
        <v>0.974956</v>
      </c>
      <c r="D36" s="1">
        <v>0.999827</v>
      </c>
      <c r="E36" s="1">
        <v>0</v>
      </c>
      <c r="F36" s="1">
        <v>0</v>
      </c>
      <c r="G36" s="1">
        <v>0</v>
      </c>
      <c r="H36" s="1">
        <v>0</v>
      </c>
      <c r="I36" s="1" t="s">
        <v>231</v>
      </c>
      <c r="J36" s="1">
        <f t="shared" si="0"/>
        <v>0.991536666666667</v>
      </c>
    </row>
    <row r="37" spans="1:10">
      <c r="A37" s="1" t="s">
        <v>233</v>
      </c>
      <c r="B37" s="1">
        <v>1.006545</v>
      </c>
      <c r="C37" s="1">
        <v>0.998857</v>
      </c>
      <c r="D37" s="1">
        <v>0.985639</v>
      </c>
      <c r="E37" s="1">
        <v>0</v>
      </c>
      <c r="F37" s="1">
        <v>0</v>
      </c>
      <c r="G37" s="1">
        <v>0</v>
      </c>
      <c r="H37" s="1">
        <v>0</v>
      </c>
      <c r="I37" s="1" t="s">
        <v>231</v>
      </c>
      <c r="J37" s="1">
        <f t="shared" si="0"/>
        <v>0.997013666666667</v>
      </c>
    </row>
    <row r="38" spans="1:10">
      <c r="A38" s="1" t="s">
        <v>51</v>
      </c>
      <c r="B38" s="1">
        <v>0.780678</v>
      </c>
      <c r="C38" s="1">
        <v>1.125626</v>
      </c>
      <c r="D38" s="1">
        <v>0.749412</v>
      </c>
      <c r="E38" s="1">
        <v>0</v>
      </c>
      <c r="F38" s="1">
        <v>0</v>
      </c>
      <c r="G38" s="1">
        <v>0</v>
      </c>
      <c r="H38" s="1">
        <v>0</v>
      </c>
      <c r="I38" s="1" t="s">
        <v>231</v>
      </c>
      <c r="J38" s="1">
        <f t="shared" si="0"/>
        <v>0.885238666666667</v>
      </c>
    </row>
    <row r="39" spans="1:10">
      <c r="A39" s="1" t="s">
        <v>52</v>
      </c>
      <c r="B39" s="1">
        <v>0.983913</v>
      </c>
      <c r="C39" s="1">
        <v>0.999342</v>
      </c>
      <c r="D39" s="1">
        <v>0.93039</v>
      </c>
      <c r="E39" s="1">
        <v>0</v>
      </c>
      <c r="F39" s="1">
        <v>0</v>
      </c>
      <c r="G39" s="1">
        <v>0</v>
      </c>
      <c r="H39" s="1">
        <v>0</v>
      </c>
      <c r="I39" s="1" t="s">
        <v>231</v>
      </c>
      <c r="J39" s="1">
        <f t="shared" si="0"/>
        <v>0.971215</v>
      </c>
    </row>
    <row r="40" spans="1:10">
      <c r="A40" s="1" t="s">
        <v>53</v>
      </c>
      <c r="B40" s="1">
        <v>0.981709</v>
      </c>
      <c r="C40" s="1">
        <v>1.001589</v>
      </c>
      <c r="D40" s="1">
        <v>0.981557</v>
      </c>
      <c r="E40" s="1">
        <v>0</v>
      </c>
      <c r="F40" s="1">
        <v>0</v>
      </c>
      <c r="G40" s="1">
        <v>0</v>
      </c>
      <c r="H40" s="1">
        <v>0</v>
      </c>
      <c r="I40" s="1" t="s">
        <v>231</v>
      </c>
      <c r="J40" s="1">
        <f t="shared" si="0"/>
        <v>0.988285</v>
      </c>
    </row>
    <row r="41" spans="1:10">
      <c r="A41" s="1" t="s">
        <v>54</v>
      </c>
      <c r="B41" s="1">
        <v>3.534277</v>
      </c>
      <c r="C41" s="1">
        <v>2.649866</v>
      </c>
      <c r="D41" s="1">
        <v>2.829377</v>
      </c>
      <c r="E41" s="1">
        <v>0</v>
      </c>
      <c r="F41" s="1">
        <v>0</v>
      </c>
      <c r="G41" s="1">
        <v>0</v>
      </c>
      <c r="H41" s="1">
        <v>0</v>
      </c>
      <c r="I41" s="1" t="s">
        <v>231</v>
      </c>
      <c r="J41" s="1">
        <f t="shared" si="0"/>
        <v>3.00450666666667</v>
      </c>
    </row>
    <row r="42" spans="1:10">
      <c r="A42" s="1" t="s">
        <v>55</v>
      </c>
      <c r="B42" s="1">
        <v>1.803408</v>
      </c>
      <c r="C42" s="1">
        <v>1.90808</v>
      </c>
      <c r="D42" s="1">
        <v>1.779164</v>
      </c>
      <c r="E42" s="1">
        <v>0</v>
      </c>
      <c r="F42" s="1">
        <v>0</v>
      </c>
      <c r="G42" s="1">
        <v>0</v>
      </c>
      <c r="H42" s="1">
        <v>0</v>
      </c>
      <c r="I42" s="1" t="s">
        <v>231</v>
      </c>
      <c r="J42" s="1">
        <f t="shared" ref="J42:J72" si="1">AVERAGEIF(B42:H42,"&gt;0")</f>
        <v>1.83021733333333</v>
      </c>
    </row>
    <row r="43" spans="1:10">
      <c r="A43" s="1" t="s">
        <v>56</v>
      </c>
      <c r="B43" s="1">
        <v>2.533082</v>
      </c>
      <c r="C43" s="1">
        <v>2.619922</v>
      </c>
      <c r="D43" s="1">
        <v>2.59617</v>
      </c>
      <c r="E43" s="1">
        <v>2.695958</v>
      </c>
      <c r="F43" s="1">
        <v>2.927</v>
      </c>
      <c r="G43" s="1">
        <v>0</v>
      </c>
      <c r="H43" s="1">
        <v>0</v>
      </c>
      <c r="I43" s="1" t="s">
        <v>231</v>
      </c>
      <c r="J43" s="1">
        <f t="shared" si="1"/>
        <v>2.6744264</v>
      </c>
    </row>
    <row r="44" spans="1:10">
      <c r="A44" s="1" t="s">
        <v>57</v>
      </c>
      <c r="B44" s="1">
        <v>2.513808</v>
      </c>
      <c r="C44" s="1">
        <v>2.620299</v>
      </c>
      <c r="D44" s="1">
        <v>2.513012</v>
      </c>
      <c r="E44" s="1">
        <v>2.739279</v>
      </c>
      <c r="F44" s="1">
        <v>2.880831</v>
      </c>
      <c r="G44" s="1">
        <v>0</v>
      </c>
      <c r="H44" s="1">
        <v>0</v>
      </c>
      <c r="I44" s="1" t="s">
        <v>231</v>
      </c>
      <c r="J44" s="1">
        <f t="shared" si="1"/>
        <v>2.6534458</v>
      </c>
    </row>
    <row r="45" spans="1:10">
      <c r="A45" s="1" t="s">
        <v>58</v>
      </c>
      <c r="B45" s="1">
        <v>3.287013</v>
      </c>
      <c r="C45" s="1">
        <v>2.559099</v>
      </c>
      <c r="D45" s="1">
        <v>3.302417</v>
      </c>
      <c r="E45" s="1">
        <v>3.457267</v>
      </c>
      <c r="F45" s="1">
        <v>3.259886</v>
      </c>
      <c r="G45" s="1">
        <v>0</v>
      </c>
      <c r="H45" s="1">
        <v>0</v>
      </c>
      <c r="I45" s="1" t="s">
        <v>231</v>
      </c>
      <c r="J45" s="1">
        <f t="shared" si="1"/>
        <v>3.1731364</v>
      </c>
    </row>
    <row r="46" spans="1:10">
      <c r="A46" s="1" t="s">
        <v>59</v>
      </c>
      <c r="B46" s="1">
        <v>1.055952</v>
      </c>
      <c r="C46" s="1">
        <v>1.130952</v>
      </c>
      <c r="D46" s="1">
        <v>1.05873</v>
      </c>
      <c r="E46" s="1">
        <v>1.080952</v>
      </c>
      <c r="F46" s="1">
        <v>1.07381</v>
      </c>
      <c r="G46" s="1">
        <v>1.197872</v>
      </c>
      <c r="H46" s="1">
        <v>0</v>
      </c>
      <c r="I46" s="1" t="s">
        <v>231</v>
      </c>
      <c r="J46" s="1">
        <f t="shared" si="1"/>
        <v>1.09971133333333</v>
      </c>
    </row>
    <row r="47" spans="1:10">
      <c r="A47" s="1" t="s">
        <v>60</v>
      </c>
      <c r="B47" s="1">
        <v>1.064626</v>
      </c>
      <c r="C47" s="1">
        <v>1.02243</v>
      </c>
      <c r="D47" s="1">
        <v>1.071173</v>
      </c>
      <c r="E47" s="1">
        <v>1.071173</v>
      </c>
      <c r="F47" s="1">
        <v>1.022499</v>
      </c>
      <c r="G47" s="1">
        <v>1.037915</v>
      </c>
      <c r="H47" s="1">
        <v>0</v>
      </c>
      <c r="I47" s="1" t="s">
        <v>231</v>
      </c>
      <c r="J47" s="1">
        <f t="shared" si="1"/>
        <v>1.04830266666667</v>
      </c>
    </row>
    <row r="48" spans="1:10">
      <c r="A48" s="1" t="s">
        <v>234</v>
      </c>
      <c r="B48" s="1">
        <v>0.405663</v>
      </c>
      <c r="C48" s="1">
        <v>0.508356</v>
      </c>
      <c r="D48" s="1">
        <v>0.413418</v>
      </c>
      <c r="E48" s="1">
        <v>0</v>
      </c>
      <c r="F48" s="1">
        <v>0</v>
      </c>
      <c r="G48" s="1">
        <v>0</v>
      </c>
      <c r="H48" s="1">
        <v>0</v>
      </c>
      <c r="I48" s="1" t="s">
        <v>231</v>
      </c>
      <c r="J48" s="1">
        <f t="shared" si="1"/>
        <v>0.442479</v>
      </c>
    </row>
    <row r="49" spans="1:10">
      <c r="A49" s="1" t="s">
        <v>62</v>
      </c>
      <c r="B49" s="1">
        <v>1.032539</v>
      </c>
      <c r="C49" s="1">
        <v>0.979569</v>
      </c>
      <c r="D49" s="1">
        <v>1.003541</v>
      </c>
      <c r="E49" s="1">
        <v>0</v>
      </c>
      <c r="F49" s="1">
        <v>0</v>
      </c>
      <c r="G49" s="1">
        <v>0</v>
      </c>
      <c r="H49" s="1">
        <v>0</v>
      </c>
      <c r="I49" s="1" t="s">
        <v>231</v>
      </c>
      <c r="J49" s="1">
        <f t="shared" si="1"/>
        <v>1.00521633333333</v>
      </c>
    </row>
    <row r="50" spans="1:10">
      <c r="A50" s="1" t="s">
        <v>63</v>
      </c>
      <c r="B50" s="1">
        <v>1.02023</v>
      </c>
      <c r="C50" s="1">
        <v>1.036212</v>
      </c>
      <c r="D50" s="1">
        <v>1.019873</v>
      </c>
      <c r="E50" s="1">
        <v>0</v>
      </c>
      <c r="F50" s="1">
        <v>0</v>
      </c>
      <c r="G50" s="1">
        <v>0</v>
      </c>
      <c r="H50" s="1">
        <v>0</v>
      </c>
      <c r="I50" s="1" t="s">
        <v>231</v>
      </c>
      <c r="J50" s="1">
        <f t="shared" si="1"/>
        <v>1.02543833333333</v>
      </c>
    </row>
    <row r="51" spans="1:10">
      <c r="A51" s="1" t="s">
        <v>64</v>
      </c>
      <c r="B51" s="1">
        <v>1.266312</v>
      </c>
      <c r="C51" s="1">
        <v>1.040852</v>
      </c>
      <c r="D51" s="1">
        <v>1.280405</v>
      </c>
      <c r="E51" s="1">
        <v>0</v>
      </c>
      <c r="F51" s="1">
        <v>0</v>
      </c>
      <c r="G51" s="1">
        <v>0</v>
      </c>
      <c r="H51" s="1">
        <v>0</v>
      </c>
      <c r="I51" s="1" t="s">
        <v>231</v>
      </c>
      <c r="J51" s="1">
        <f t="shared" si="1"/>
        <v>1.19585633333333</v>
      </c>
    </row>
    <row r="52" spans="1:10">
      <c r="A52" s="1" t="s">
        <v>65</v>
      </c>
      <c r="B52" s="1">
        <v>1.065462</v>
      </c>
      <c r="C52" s="1">
        <v>1.060855</v>
      </c>
      <c r="D52" s="1">
        <v>1.096355</v>
      </c>
      <c r="E52" s="1">
        <v>0</v>
      </c>
      <c r="F52" s="1">
        <v>0</v>
      </c>
      <c r="G52" s="1">
        <v>0</v>
      </c>
      <c r="H52" s="1">
        <v>0</v>
      </c>
      <c r="I52" s="1" t="s">
        <v>231</v>
      </c>
      <c r="J52" s="1">
        <f t="shared" si="1"/>
        <v>1.074224</v>
      </c>
    </row>
    <row r="53" spans="1:10">
      <c r="A53" s="1" t="s">
        <v>66</v>
      </c>
      <c r="B53" s="1">
        <v>1.046651</v>
      </c>
      <c r="C53" s="1">
        <v>1.00361</v>
      </c>
      <c r="D53" s="1">
        <v>1.078024</v>
      </c>
      <c r="E53" s="1">
        <v>0</v>
      </c>
      <c r="F53" s="1">
        <v>0</v>
      </c>
      <c r="G53" s="1">
        <v>0</v>
      </c>
      <c r="H53" s="1">
        <v>0</v>
      </c>
      <c r="I53" s="1" t="s">
        <v>231</v>
      </c>
      <c r="J53" s="1">
        <f t="shared" si="1"/>
        <v>1.04276166666667</v>
      </c>
    </row>
    <row r="54" spans="1:10">
      <c r="A54" s="1" t="s">
        <v>67</v>
      </c>
      <c r="B54" s="1">
        <v>1.005336</v>
      </c>
      <c r="C54" s="1">
        <v>1.024055</v>
      </c>
      <c r="D54" s="1">
        <v>1.005301</v>
      </c>
      <c r="E54" s="1">
        <v>0</v>
      </c>
      <c r="F54" s="1">
        <v>0</v>
      </c>
      <c r="G54" s="1">
        <v>0</v>
      </c>
      <c r="H54" s="1">
        <v>0</v>
      </c>
      <c r="I54" s="1" t="s">
        <v>231</v>
      </c>
      <c r="J54" s="1">
        <f t="shared" si="1"/>
        <v>1.011564</v>
      </c>
    </row>
    <row r="55" spans="1:10">
      <c r="A55" s="1" t="s">
        <v>235</v>
      </c>
      <c r="B55" s="1">
        <v>1.010545</v>
      </c>
      <c r="C55" s="1">
        <v>1.032225</v>
      </c>
      <c r="D55" s="1">
        <v>1.039162</v>
      </c>
      <c r="E55" s="1">
        <v>0</v>
      </c>
      <c r="F55" s="1">
        <v>0</v>
      </c>
      <c r="G55" s="1">
        <v>0</v>
      </c>
      <c r="H55" s="1">
        <v>0</v>
      </c>
      <c r="I55" s="1" t="s">
        <v>231</v>
      </c>
      <c r="J55" s="1">
        <f t="shared" si="1"/>
        <v>1.02731066666667</v>
      </c>
    </row>
    <row r="56" spans="1:10">
      <c r="A56" s="1" t="s">
        <v>68</v>
      </c>
      <c r="B56" s="1">
        <v>1.510714</v>
      </c>
      <c r="C56" s="1">
        <v>1.40522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 t="s">
        <v>231</v>
      </c>
      <c r="J56" s="1">
        <f t="shared" si="1"/>
        <v>1.457967</v>
      </c>
    </row>
    <row r="57" spans="1:10">
      <c r="A57" s="1" t="s">
        <v>69</v>
      </c>
      <c r="B57" s="1">
        <v>0.989983</v>
      </c>
      <c r="C57" s="1">
        <v>1.00187</v>
      </c>
      <c r="D57" s="1">
        <v>0.988099</v>
      </c>
      <c r="E57" s="1">
        <v>0</v>
      </c>
      <c r="F57" s="1">
        <v>0</v>
      </c>
      <c r="G57" s="1">
        <v>0</v>
      </c>
      <c r="H57" s="1">
        <v>0</v>
      </c>
      <c r="I57" s="1" t="s">
        <v>231</v>
      </c>
      <c r="J57" s="1">
        <f t="shared" si="1"/>
        <v>0.993317333333333</v>
      </c>
    </row>
    <row r="58" spans="1:10">
      <c r="A58" s="1" t="s">
        <v>70</v>
      </c>
      <c r="B58" s="1">
        <v>1.001702</v>
      </c>
      <c r="C58" s="1">
        <v>1.026413</v>
      </c>
      <c r="D58" s="1">
        <v>0.958082</v>
      </c>
      <c r="E58" s="1">
        <v>0</v>
      </c>
      <c r="F58" s="1">
        <v>0</v>
      </c>
      <c r="G58" s="1">
        <v>0</v>
      </c>
      <c r="H58" s="1">
        <v>0</v>
      </c>
      <c r="I58" s="1" t="s">
        <v>231</v>
      </c>
      <c r="J58" s="1">
        <f t="shared" si="1"/>
        <v>0.995399</v>
      </c>
    </row>
    <row r="59" spans="1:10">
      <c r="A59" s="1" t="s">
        <v>71</v>
      </c>
      <c r="B59" s="1">
        <v>1.007772</v>
      </c>
      <c r="C59" s="1">
        <v>1.000971</v>
      </c>
      <c r="D59" s="1">
        <v>1.004635</v>
      </c>
      <c r="E59" s="1">
        <v>0</v>
      </c>
      <c r="F59" s="1">
        <v>0</v>
      </c>
      <c r="G59" s="1">
        <v>0</v>
      </c>
      <c r="H59" s="1">
        <v>0</v>
      </c>
      <c r="I59" s="1" t="s">
        <v>231</v>
      </c>
      <c r="J59" s="1">
        <f t="shared" si="1"/>
        <v>1.00445933333333</v>
      </c>
    </row>
    <row r="60" spans="1:10">
      <c r="A60" s="1" t="s">
        <v>72</v>
      </c>
      <c r="B60" s="1">
        <v>0.99322</v>
      </c>
      <c r="C60" s="1">
        <v>0.998251</v>
      </c>
      <c r="D60" s="1">
        <v>0.964845</v>
      </c>
      <c r="E60" s="1">
        <v>0</v>
      </c>
      <c r="F60" s="1">
        <v>0</v>
      </c>
      <c r="G60" s="1">
        <v>0</v>
      </c>
      <c r="H60" s="1">
        <v>0</v>
      </c>
      <c r="I60" s="1" t="s">
        <v>231</v>
      </c>
      <c r="J60" s="1">
        <f t="shared" si="1"/>
        <v>0.985438666666667</v>
      </c>
    </row>
    <row r="61" spans="1:10">
      <c r="A61" s="1" t="s">
        <v>73</v>
      </c>
      <c r="B61" s="1">
        <v>1.018483</v>
      </c>
      <c r="C61" s="1">
        <v>0.998545</v>
      </c>
      <c r="D61" s="1">
        <v>0.98979</v>
      </c>
      <c r="E61" s="1">
        <v>0</v>
      </c>
      <c r="F61" s="1">
        <v>0</v>
      </c>
      <c r="G61" s="1">
        <v>0</v>
      </c>
      <c r="H61" s="1">
        <v>0</v>
      </c>
      <c r="I61" s="1" t="s">
        <v>231</v>
      </c>
      <c r="J61" s="1">
        <f t="shared" si="1"/>
        <v>1.00227266666667</v>
      </c>
    </row>
    <row r="62" spans="1:10">
      <c r="A62" s="1" t="s">
        <v>74</v>
      </c>
      <c r="B62" s="1">
        <v>0.992814</v>
      </c>
      <c r="C62" s="1">
        <v>1.022913</v>
      </c>
      <c r="D62" s="1">
        <v>0.992812</v>
      </c>
      <c r="E62" s="1">
        <v>0</v>
      </c>
      <c r="F62" s="1">
        <v>0</v>
      </c>
      <c r="G62" s="1">
        <v>0</v>
      </c>
      <c r="H62" s="1">
        <v>0</v>
      </c>
      <c r="I62" s="1" t="s">
        <v>231</v>
      </c>
      <c r="J62" s="1">
        <f t="shared" si="1"/>
        <v>1.00284633333333</v>
      </c>
    </row>
    <row r="63" spans="1:10">
      <c r="A63" s="1" t="s">
        <v>75</v>
      </c>
      <c r="B63" s="1">
        <v>0.995365</v>
      </c>
      <c r="C63" s="1">
        <v>0.999803</v>
      </c>
      <c r="D63" s="1">
        <v>0.995173</v>
      </c>
      <c r="E63" s="1">
        <v>0</v>
      </c>
      <c r="F63" s="1">
        <v>0</v>
      </c>
      <c r="G63" s="1">
        <v>0</v>
      </c>
      <c r="H63" s="1">
        <v>0</v>
      </c>
      <c r="I63" s="1" t="s">
        <v>231</v>
      </c>
      <c r="J63" s="1">
        <f t="shared" si="1"/>
        <v>0.996780333333333</v>
      </c>
    </row>
    <row r="64" spans="1:10">
      <c r="A64" s="1" t="s">
        <v>76</v>
      </c>
      <c r="B64" s="1">
        <v>0.808321</v>
      </c>
      <c r="C64" s="1">
        <v>0.806103</v>
      </c>
      <c r="D64" s="1">
        <v>0.828089</v>
      </c>
      <c r="E64" s="1">
        <v>0</v>
      </c>
      <c r="F64" s="1">
        <v>0</v>
      </c>
      <c r="G64" s="1">
        <v>0</v>
      </c>
      <c r="H64" s="1">
        <v>0</v>
      </c>
      <c r="I64" s="1" t="s">
        <v>231</v>
      </c>
      <c r="J64" s="1">
        <f t="shared" si="1"/>
        <v>0.814171</v>
      </c>
    </row>
    <row r="65" spans="1:10">
      <c r="A65" s="1" t="s">
        <v>77</v>
      </c>
      <c r="B65" s="1">
        <v>1.338095</v>
      </c>
      <c r="C65" s="1">
        <v>1.22619</v>
      </c>
      <c r="D65" s="1">
        <v>1.316041</v>
      </c>
      <c r="E65" s="1">
        <v>0</v>
      </c>
      <c r="F65" s="1">
        <v>0</v>
      </c>
      <c r="G65" s="1">
        <v>0</v>
      </c>
      <c r="H65" s="1">
        <v>0</v>
      </c>
      <c r="I65" s="1" t="s">
        <v>231</v>
      </c>
      <c r="J65" s="1">
        <f t="shared" si="1"/>
        <v>1.293442</v>
      </c>
    </row>
    <row r="66" spans="1:10">
      <c r="A66" s="1" t="s">
        <v>78</v>
      </c>
      <c r="B66" s="1">
        <v>0.992618</v>
      </c>
      <c r="C66" s="1">
        <v>0.998883</v>
      </c>
      <c r="D66" s="1">
        <v>0.966517</v>
      </c>
      <c r="E66" s="1">
        <v>0</v>
      </c>
      <c r="F66" s="1">
        <v>0</v>
      </c>
      <c r="G66" s="1">
        <v>0</v>
      </c>
      <c r="H66" s="1">
        <v>0</v>
      </c>
      <c r="I66" s="1" t="s">
        <v>231</v>
      </c>
      <c r="J66" s="1">
        <f t="shared" si="1"/>
        <v>0.986006</v>
      </c>
    </row>
    <row r="67" spans="1:10">
      <c r="A67" s="1" t="s">
        <v>79</v>
      </c>
      <c r="B67" s="1">
        <v>0.964672</v>
      </c>
      <c r="C67" s="1">
        <v>0.966713</v>
      </c>
      <c r="D67" s="1">
        <v>0.991195</v>
      </c>
      <c r="E67" s="1">
        <v>0</v>
      </c>
      <c r="F67" s="1">
        <v>0</v>
      </c>
      <c r="G67" s="1">
        <v>0</v>
      </c>
      <c r="H67" s="1">
        <v>0</v>
      </c>
      <c r="I67" s="1" t="s">
        <v>231</v>
      </c>
      <c r="J67" s="1">
        <f t="shared" si="1"/>
        <v>0.974193333333333</v>
      </c>
    </row>
    <row r="68" spans="1:10">
      <c r="A68" s="1" t="s">
        <v>82</v>
      </c>
      <c r="B68" s="1">
        <v>0</v>
      </c>
      <c r="C68" s="1">
        <v>0</v>
      </c>
      <c r="D68" s="1">
        <v>288.088759</v>
      </c>
      <c r="E68" s="1">
        <v>0</v>
      </c>
      <c r="F68" s="1">
        <v>0</v>
      </c>
      <c r="G68" s="1">
        <v>0</v>
      </c>
      <c r="H68" s="1">
        <v>0</v>
      </c>
      <c r="I68" s="1" t="s">
        <v>231</v>
      </c>
      <c r="J68" s="1">
        <f t="shared" si="1"/>
        <v>288.088759</v>
      </c>
    </row>
    <row r="69" spans="1:10">
      <c r="A69" s="1" t="s">
        <v>83</v>
      </c>
      <c r="B69" s="1">
        <v>1.090411</v>
      </c>
      <c r="C69" s="1">
        <v>1.08463</v>
      </c>
      <c r="D69" s="1">
        <v>1.113431</v>
      </c>
      <c r="E69" s="1">
        <v>1.106198</v>
      </c>
      <c r="F69" s="1">
        <v>1.08072</v>
      </c>
      <c r="G69" s="1">
        <v>0</v>
      </c>
      <c r="H69" s="1">
        <v>0</v>
      </c>
      <c r="I69" s="1" t="s">
        <v>231</v>
      </c>
      <c r="J69" s="1">
        <f t="shared" si="1"/>
        <v>1.095078</v>
      </c>
    </row>
    <row r="70" spans="1:10">
      <c r="A70" s="1" t="s">
        <v>84</v>
      </c>
      <c r="B70" s="1">
        <v>0</v>
      </c>
      <c r="C70" s="1">
        <v>0</v>
      </c>
      <c r="D70" s="1">
        <v>0</v>
      </c>
      <c r="E70" s="1">
        <v>1.029102</v>
      </c>
      <c r="F70" s="1">
        <v>1.008163</v>
      </c>
      <c r="G70" s="1">
        <v>0</v>
      </c>
      <c r="H70" s="1">
        <v>0</v>
      </c>
      <c r="I70" s="1" t="s">
        <v>231</v>
      </c>
      <c r="J70" s="1">
        <f t="shared" si="1"/>
        <v>1.0186325</v>
      </c>
    </row>
    <row r="71" spans="1:10">
      <c r="A71" s="1" t="s">
        <v>85</v>
      </c>
      <c r="B71" s="1">
        <v>0</v>
      </c>
      <c r="C71" s="1">
        <v>0</v>
      </c>
      <c r="D71" s="1">
        <v>0</v>
      </c>
      <c r="E71" s="1">
        <v>0.985128</v>
      </c>
      <c r="F71" s="1">
        <v>1.018018</v>
      </c>
      <c r="G71" s="1">
        <v>0</v>
      </c>
      <c r="H71" s="1">
        <v>0</v>
      </c>
      <c r="I71" s="1" t="s">
        <v>231</v>
      </c>
      <c r="J71" s="1">
        <f t="shared" si="1"/>
        <v>1.001573</v>
      </c>
    </row>
    <row r="72" spans="1:10">
      <c r="A72" s="1" t="s">
        <v>86</v>
      </c>
      <c r="B72" s="1">
        <v>0.954046</v>
      </c>
      <c r="C72" s="1">
        <v>1.028475</v>
      </c>
      <c r="D72" s="1">
        <v>0.999563</v>
      </c>
      <c r="E72" s="1">
        <v>0</v>
      </c>
      <c r="F72" s="1">
        <v>0</v>
      </c>
      <c r="G72" s="1">
        <v>0</v>
      </c>
      <c r="H72" s="1">
        <v>0</v>
      </c>
      <c r="I72" s="1" t="s">
        <v>231</v>
      </c>
      <c r="J72" s="1">
        <f t="shared" si="1"/>
        <v>0.994028</v>
      </c>
    </row>
    <row r="73" spans="1:10">
      <c r="A73" s="1" t="s">
        <v>87</v>
      </c>
      <c r="B73" s="1">
        <v>0.998856</v>
      </c>
      <c r="C73" s="1">
        <v>0.96191</v>
      </c>
      <c r="D73" s="1">
        <v>0.966374</v>
      </c>
      <c r="E73" s="1">
        <v>0</v>
      </c>
      <c r="F73" s="1">
        <v>0</v>
      </c>
      <c r="G73" s="1">
        <v>0</v>
      </c>
      <c r="H73" s="1">
        <v>0</v>
      </c>
      <c r="I73" s="1" t="s">
        <v>231</v>
      </c>
      <c r="J73" s="1">
        <f t="shared" ref="J73:J114" si="2">AVERAGEIF(B73:H73,"&gt;0")</f>
        <v>0.975713333333333</v>
      </c>
    </row>
    <row r="74" spans="1:10">
      <c r="A74" s="1" t="s">
        <v>88</v>
      </c>
      <c r="B74" s="1">
        <v>3.17149</v>
      </c>
      <c r="C74" s="1">
        <v>2.695086</v>
      </c>
      <c r="D74" s="1">
        <v>3.177063</v>
      </c>
      <c r="E74" s="1">
        <v>0</v>
      </c>
      <c r="F74" s="1">
        <v>0</v>
      </c>
      <c r="G74" s="1">
        <v>0</v>
      </c>
      <c r="H74" s="1">
        <v>0</v>
      </c>
      <c r="I74" s="1" t="s">
        <v>231</v>
      </c>
      <c r="J74" s="1">
        <f t="shared" si="2"/>
        <v>3.01454633333333</v>
      </c>
    </row>
    <row r="75" spans="1:10">
      <c r="A75" s="1" t="s">
        <v>89</v>
      </c>
      <c r="B75" s="1">
        <v>1.325015</v>
      </c>
      <c r="C75" s="1">
        <v>1.318755</v>
      </c>
      <c r="D75" s="1">
        <v>1.282268</v>
      </c>
      <c r="E75" s="1">
        <v>0</v>
      </c>
      <c r="F75" s="1">
        <v>0</v>
      </c>
      <c r="G75" s="1">
        <v>0</v>
      </c>
      <c r="H75" s="1">
        <v>0</v>
      </c>
      <c r="I75" s="1" t="s">
        <v>231</v>
      </c>
      <c r="J75" s="1">
        <f t="shared" si="2"/>
        <v>1.30867933333333</v>
      </c>
    </row>
    <row r="76" spans="1:10">
      <c r="A76" s="1" t="s">
        <v>236</v>
      </c>
      <c r="B76" s="1">
        <v>0</v>
      </c>
      <c r="C76" s="1">
        <v>0.58056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 t="s">
        <v>231</v>
      </c>
      <c r="J76" s="1">
        <f t="shared" si="2"/>
        <v>0.58056</v>
      </c>
    </row>
    <row r="77" spans="1:10">
      <c r="A77" s="1" t="s">
        <v>90</v>
      </c>
      <c r="B77" s="1">
        <v>0.982829</v>
      </c>
      <c r="C77" s="1">
        <v>1.00057</v>
      </c>
      <c r="D77" s="1">
        <v>0.985975</v>
      </c>
      <c r="E77" s="1">
        <v>0</v>
      </c>
      <c r="F77" s="1">
        <v>0</v>
      </c>
      <c r="G77" s="1">
        <v>0</v>
      </c>
      <c r="H77" s="1">
        <v>0</v>
      </c>
      <c r="I77" s="1" t="s">
        <v>231</v>
      </c>
      <c r="J77" s="1">
        <f t="shared" si="2"/>
        <v>0.989791333333333</v>
      </c>
    </row>
    <row r="78" spans="1:10">
      <c r="A78" s="1" t="s">
        <v>91</v>
      </c>
      <c r="B78" s="1">
        <v>0.964142</v>
      </c>
      <c r="C78" s="1">
        <v>1.001691</v>
      </c>
      <c r="D78" s="1">
        <v>0.958515</v>
      </c>
      <c r="E78" s="1">
        <v>0</v>
      </c>
      <c r="F78" s="1">
        <v>0</v>
      </c>
      <c r="G78" s="1">
        <v>0</v>
      </c>
      <c r="H78" s="1">
        <v>0</v>
      </c>
      <c r="I78" s="1" t="s">
        <v>231</v>
      </c>
      <c r="J78" s="1">
        <f t="shared" si="2"/>
        <v>0.974782666666667</v>
      </c>
    </row>
    <row r="79" spans="1:10">
      <c r="A79" s="1" t="s">
        <v>237</v>
      </c>
      <c r="B79" s="1">
        <v>0.683661</v>
      </c>
      <c r="C79" s="1">
        <v>0.722335</v>
      </c>
      <c r="D79" s="1">
        <v>0.692822</v>
      </c>
      <c r="E79" s="1">
        <v>0</v>
      </c>
      <c r="F79" s="1">
        <v>0</v>
      </c>
      <c r="G79" s="1">
        <v>0</v>
      </c>
      <c r="H79" s="1">
        <v>0</v>
      </c>
      <c r="I79" s="1" t="s">
        <v>231</v>
      </c>
      <c r="J79" s="1">
        <f t="shared" si="2"/>
        <v>0.699606</v>
      </c>
    </row>
    <row r="80" spans="1:10">
      <c r="A80" s="1" t="s">
        <v>92</v>
      </c>
      <c r="B80" s="1">
        <v>1.007362</v>
      </c>
      <c r="C80" s="1">
        <v>1.001832</v>
      </c>
      <c r="D80" s="1">
        <v>1.007256</v>
      </c>
      <c r="E80" s="1">
        <v>0</v>
      </c>
      <c r="F80" s="1">
        <v>0</v>
      </c>
      <c r="G80" s="1">
        <v>0</v>
      </c>
      <c r="H80" s="1">
        <v>0</v>
      </c>
      <c r="I80" s="1" t="s">
        <v>231</v>
      </c>
      <c r="J80" s="1">
        <f t="shared" si="2"/>
        <v>1.00548333333333</v>
      </c>
    </row>
    <row r="81" spans="1:10">
      <c r="A81" s="1" t="s">
        <v>93</v>
      </c>
      <c r="B81" s="1">
        <v>1.595023</v>
      </c>
      <c r="C81" s="1">
        <v>1.611897</v>
      </c>
      <c r="D81" s="1">
        <v>1.539202</v>
      </c>
      <c r="E81" s="1">
        <v>0</v>
      </c>
      <c r="F81" s="1">
        <v>0</v>
      </c>
      <c r="G81" s="1">
        <v>0</v>
      </c>
      <c r="H81" s="1">
        <v>0</v>
      </c>
      <c r="I81" s="1" t="s">
        <v>231</v>
      </c>
      <c r="J81" s="1">
        <f t="shared" si="2"/>
        <v>1.58204066666667</v>
      </c>
    </row>
    <row r="82" spans="1:10">
      <c r="A82" s="1" t="s">
        <v>95</v>
      </c>
      <c r="B82" s="1">
        <v>0.905874</v>
      </c>
      <c r="C82" s="1">
        <v>1.120309</v>
      </c>
      <c r="D82" s="1">
        <v>0.884968</v>
      </c>
      <c r="E82" s="1">
        <v>0</v>
      </c>
      <c r="F82" s="1">
        <v>0</v>
      </c>
      <c r="G82" s="1">
        <v>0</v>
      </c>
      <c r="H82" s="1">
        <v>0</v>
      </c>
      <c r="I82" s="1" t="s">
        <v>231</v>
      </c>
      <c r="J82" s="1">
        <f t="shared" si="2"/>
        <v>0.970383666666667</v>
      </c>
    </row>
    <row r="83" spans="1:10">
      <c r="A83" s="1" t="s">
        <v>238</v>
      </c>
      <c r="B83" s="1">
        <v>0.670556</v>
      </c>
      <c r="C83" s="1">
        <v>0.737065</v>
      </c>
      <c r="D83" s="1">
        <v>0.671769</v>
      </c>
      <c r="E83" s="1">
        <v>0</v>
      </c>
      <c r="F83" s="1">
        <v>0</v>
      </c>
      <c r="G83" s="1">
        <v>0</v>
      </c>
      <c r="H83" s="1">
        <v>0</v>
      </c>
      <c r="I83" s="1" t="s">
        <v>231</v>
      </c>
      <c r="J83" s="1">
        <f t="shared" si="2"/>
        <v>0.69313</v>
      </c>
    </row>
    <row r="84" spans="1:10">
      <c r="A84" s="1" t="s">
        <v>96</v>
      </c>
      <c r="B84" s="1">
        <v>1.900973</v>
      </c>
      <c r="C84" s="1">
        <v>1.815446</v>
      </c>
      <c r="D84" s="1">
        <v>1.888779</v>
      </c>
      <c r="E84" s="1">
        <v>0</v>
      </c>
      <c r="F84" s="1">
        <v>0</v>
      </c>
      <c r="G84" s="1">
        <v>0</v>
      </c>
      <c r="H84" s="1">
        <v>0</v>
      </c>
      <c r="I84" s="1" t="s">
        <v>231</v>
      </c>
      <c r="J84" s="1">
        <f t="shared" si="2"/>
        <v>1.86839933333333</v>
      </c>
    </row>
    <row r="85" spans="1:10">
      <c r="A85" s="1" t="s">
        <v>97</v>
      </c>
      <c r="B85" s="1">
        <v>0.987573</v>
      </c>
      <c r="C85" s="1">
        <v>1.032041</v>
      </c>
      <c r="D85" s="1">
        <v>0.988183</v>
      </c>
      <c r="E85" s="1">
        <v>0</v>
      </c>
      <c r="F85" s="1">
        <v>0</v>
      </c>
      <c r="G85" s="1">
        <v>0</v>
      </c>
      <c r="H85" s="1">
        <v>0</v>
      </c>
      <c r="I85" s="1" t="s">
        <v>231</v>
      </c>
      <c r="J85" s="1">
        <f t="shared" si="2"/>
        <v>1.002599</v>
      </c>
    </row>
    <row r="86" spans="1:10">
      <c r="A86" s="1" t="s">
        <v>98</v>
      </c>
      <c r="B86" s="1">
        <v>1.139683</v>
      </c>
      <c r="C86" s="1">
        <v>1.10735</v>
      </c>
      <c r="D86" s="1">
        <v>1.108586</v>
      </c>
      <c r="E86" s="1">
        <v>0</v>
      </c>
      <c r="F86" s="1">
        <v>0</v>
      </c>
      <c r="G86" s="1">
        <v>0</v>
      </c>
      <c r="H86" s="1">
        <v>0</v>
      </c>
      <c r="I86" s="1" t="s">
        <v>231</v>
      </c>
      <c r="J86" s="1">
        <f t="shared" si="2"/>
        <v>1.11853966666667</v>
      </c>
    </row>
    <row r="87" spans="1:10">
      <c r="A87" s="1" t="s">
        <v>99</v>
      </c>
      <c r="B87" s="1">
        <v>1.478431</v>
      </c>
      <c r="C87" s="1">
        <v>1.262442</v>
      </c>
      <c r="D87" s="1">
        <v>1.476031</v>
      </c>
      <c r="E87" s="1">
        <v>0</v>
      </c>
      <c r="F87" s="1">
        <v>0</v>
      </c>
      <c r="G87" s="1">
        <v>0</v>
      </c>
      <c r="H87" s="1">
        <v>0</v>
      </c>
      <c r="I87" s="1" t="s">
        <v>231</v>
      </c>
      <c r="J87" s="1">
        <f t="shared" si="2"/>
        <v>1.40563466666667</v>
      </c>
    </row>
    <row r="88" spans="1:10">
      <c r="A88" s="1" t="s">
        <v>100</v>
      </c>
      <c r="B88" s="1">
        <v>0.150794</v>
      </c>
      <c r="C88" s="1">
        <v>0.547779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 t="s">
        <v>231</v>
      </c>
      <c r="J88" s="1">
        <f t="shared" si="2"/>
        <v>0.3492865</v>
      </c>
    </row>
    <row r="89" spans="1:10">
      <c r="A89" s="1" t="s">
        <v>101</v>
      </c>
      <c r="B89" s="1">
        <v>0.138054</v>
      </c>
      <c r="C89" s="1">
        <v>0.593967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 t="s">
        <v>231</v>
      </c>
      <c r="J89" s="1">
        <f t="shared" si="2"/>
        <v>0.3660105</v>
      </c>
    </row>
    <row r="90" spans="1:10">
      <c r="A90" s="1" t="s">
        <v>239</v>
      </c>
      <c r="B90" s="1">
        <v>3.325369</v>
      </c>
      <c r="C90" s="1">
        <v>3.326689</v>
      </c>
      <c r="D90" s="1">
        <v>1.240655</v>
      </c>
      <c r="E90" s="1">
        <v>0</v>
      </c>
      <c r="F90" s="1">
        <v>0</v>
      </c>
      <c r="G90" s="1">
        <v>0</v>
      </c>
      <c r="H90" s="1">
        <v>0</v>
      </c>
      <c r="I90" s="1" t="s">
        <v>231</v>
      </c>
      <c r="J90" s="1">
        <f t="shared" si="2"/>
        <v>2.63090433333333</v>
      </c>
    </row>
    <row r="91" spans="1:10">
      <c r="A91" s="1" t="s">
        <v>103</v>
      </c>
      <c r="B91" s="1">
        <v>10.861111</v>
      </c>
      <c r="C91" s="1">
        <v>10.95</v>
      </c>
      <c r="D91" s="1">
        <v>2.097275</v>
      </c>
      <c r="E91" s="1">
        <v>0</v>
      </c>
      <c r="F91" s="1">
        <v>0</v>
      </c>
      <c r="G91" s="1">
        <v>0</v>
      </c>
      <c r="H91" s="1">
        <v>0</v>
      </c>
      <c r="I91" s="1" t="s">
        <v>231</v>
      </c>
      <c r="J91" s="1">
        <f t="shared" si="2"/>
        <v>7.969462</v>
      </c>
    </row>
    <row r="92" spans="1:10">
      <c r="A92" s="1" t="s">
        <v>104</v>
      </c>
      <c r="B92" s="1">
        <v>0.065824</v>
      </c>
      <c r="C92" s="1">
        <v>0.064065</v>
      </c>
      <c r="D92" s="1">
        <v>0.067245</v>
      </c>
      <c r="E92" s="1">
        <v>0</v>
      </c>
      <c r="F92" s="1">
        <v>0</v>
      </c>
      <c r="G92" s="1">
        <v>0</v>
      </c>
      <c r="H92" s="1">
        <v>0</v>
      </c>
      <c r="I92" s="1" t="s">
        <v>231</v>
      </c>
      <c r="J92" s="1">
        <f t="shared" si="2"/>
        <v>0.0657113333333333</v>
      </c>
    </row>
    <row r="93" spans="1:10">
      <c r="A93" s="1" t="s">
        <v>105</v>
      </c>
      <c r="B93" s="1">
        <v>2.842222</v>
      </c>
      <c r="C93" s="1">
        <v>1.816905</v>
      </c>
      <c r="D93" s="1">
        <v>2.862331</v>
      </c>
      <c r="E93" s="1">
        <v>0</v>
      </c>
      <c r="F93" s="1">
        <v>0</v>
      </c>
      <c r="G93" s="1">
        <v>0</v>
      </c>
      <c r="H93" s="1">
        <v>0</v>
      </c>
      <c r="I93" s="1" t="s">
        <v>231</v>
      </c>
      <c r="J93" s="1">
        <f t="shared" si="2"/>
        <v>2.50715266666667</v>
      </c>
    </row>
    <row r="94" spans="1:10">
      <c r="A94" s="1" t="s">
        <v>106</v>
      </c>
      <c r="B94" s="1">
        <v>8.42821</v>
      </c>
      <c r="C94" s="1">
        <v>8.490674</v>
      </c>
      <c r="D94" s="1">
        <v>8.454439</v>
      </c>
      <c r="E94" s="1">
        <v>14.691987</v>
      </c>
      <c r="F94" s="1">
        <v>9.84999</v>
      </c>
      <c r="G94" s="1">
        <v>0</v>
      </c>
      <c r="H94" s="1">
        <v>0</v>
      </c>
      <c r="I94" s="1" t="s">
        <v>231</v>
      </c>
      <c r="J94" s="1">
        <f t="shared" si="2"/>
        <v>9.98306</v>
      </c>
    </row>
    <row r="95" spans="1:10">
      <c r="A95" s="1" t="s">
        <v>107</v>
      </c>
      <c r="B95" s="1">
        <v>3.573278</v>
      </c>
      <c r="C95" s="1">
        <v>3.524819</v>
      </c>
      <c r="D95" s="1">
        <v>3.555233</v>
      </c>
      <c r="E95" s="1">
        <v>0</v>
      </c>
      <c r="F95" s="1">
        <v>0</v>
      </c>
      <c r="G95" s="1">
        <v>0</v>
      </c>
      <c r="H95" s="1">
        <v>0</v>
      </c>
      <c r="I95" s="1" t="s">
        <v>231</v>
      </c>
      <c r="J95" s="1">
        <f t="shared" si="2"/>
        <v>3.55111</v>
      </c>
    </row>
    <row r="96" spans="1:10">
      <c r="A96" s="1" t="s">
        <v>108</v>
      </c>
      <c r="B96" s="1">
        <v>0</v>
      </c>
      <c r="C96" s="1">
        <v>0</v>
      </c>
      <c r="D96" s="1">
        <v>0</v>
      </c>
      <c r="E96" s="1">
        <v>4.233855</v>
      </c>
      <c r="F96" s="1">
        <v>3.745922</v>
      </c>
      <c r="G96" s="1">
        <v>0</v>
      </c>
      <c r="H96" s="1">
        <v>0</v>
      </c>
      <c r="I96" s="1" t="s">
        <v>231</v>
      </c>
      <c r="J96" s="1">
        <f t="shared" si="2"/>
        <v>3.9898885</v>
      </c>
    </row>
    <row r="97" spans="1:10">
      <c r="A97" s="1" t="s">
        <v>109</v>
      </c>
      <c r="B97" s="1">
        <v>1.969741</v>
      </c>
      <c r="C97" s="1">
        <v>2.193534</v>
      </c>
      <c r="D97" s="1">
        <v>1.968389</v>
      </c>
      <c r="E97" s="1">
        <v>0</v>
      </c>
      <c r="F97" s="1">
        <v>0</v>
      </c>
      <c r="G97" s="1">
        <v>0</v>
      </c>
      <c r="H97" s="1">
        <v>0</v>
      </c>
      <c r="I97" s="1" t="s">
        <v>231</v>
      </c>
      <c r="J97" s="1">
        <f t="shared" si="2"/>
        <v>2.043888</v>
      </c>
    </row>
    <row r="98" spans="1:10">
      <c r="A98" s="1" t="s">
        <v>110</v>
      </c>
      <c r="B98" s="1">
        <v>0.966796</v>
      </c>
      <c r="C98" s="1">
        <v>0.970729</v>
      </c>
      <c r="D98" s="1">
        <v>0.97254</v>
      </c>
      <c r="E98" s="1">
        <v>0</v>
      </c>
      <c r="F98" s="1">
        <v>0</v>
      </c>
      <c r="G98" s="1">
        <v>0</v>
      </c>
      <c r="H98" s="1">
        <v>0</v>
      </c>
      <c r="I98" s="1" t="s">
        <v>231</v>
      </c>
      <c r="J98" s="1">
        <f t="shared" si="2"/>
        <v>0.970021666666667</v>
      </c>
    </row>
    <row r="99" spans="1:10">
      <c r="A99" s="1" t="s">
        <v>111</v>
      </c>
      <c r="B99" s="1">
        <v>0.432009</v>
      </c>
      <c r="C99" s="1">
        <v>0.415164</v>
      </c>
      <c r="D99" s="1">
        <v>0.440243</v>
      </c>
      <c r="E99" s="1">
        <v>0</v>
      </c>
      <c r="F99" s="1">
        <v>0</v>
      </c>
      <c r="G99" s="1">
        <v>0</v>
      </c>
      <c r="H99" s="1">
        <v>0</v>
      </c>
      <c r="I99" s="1" t="s">
        <v>231</v>
      </c>
      <c r="J99" s="1">
        <f t="shared" si="2"/>
        <v>0.429138666666667</v>
      </c>
    </row>
    <row r="100" spans="1:10">
      <c r="A100" s="1" t="s">
        <v>112</v>
      </c>
      <c r="B100" s="1">
        <v>3.568742</v>
      </c>
      <c r="C100" s="1">
        <v>2.941057</v>
      </c>
      <c r="D100" s="1">
        <v>3.570555</v>
      </c>
      <c r="E100" s="1">
        <v>0</v>
      </c>
      <c r="F100" s="1">
        <v>0</v>
      </c>
      <c r="G100" s="1">
        <v>0</v>
      </c>
      <c r="H100" s="1">
        <v>0</v>
      </c>
      <c r="I100" s="1" t="s">
        <v>231</v>
      </c>
      <c r="J100" s="1">
        <f t="shared" si="2"/>
        <v>3.360118</v>
      </c>
    </row>
    <row r="101" spans="1:10">
      <c r="A101" s="1" t="s">
        <v>113</v>
      </c>
      <c r="B101" s="1">
        <v>1.018396</v>
      </c>
      <c r="C101" s="1">
        <v>0.97554</v>
      </c>
      <c r="D101" s="1">
        <v>1.021494</v>
      </c>
      <c r="E101" s="1">
        <v>0</v>
      </c>
      <c r="F101" s="1">
        <v>0</v>
      </c>
      <c r="G101" s="1">
        <v>0</v>
      </c>
      <c r="H101" s="1">
        <v>0</v>
      </c>
      <c r="I101" s="1" t="s">
        <v>231</v>
      </c>
      <c r="J101" s="1">
        <f t="shared" si="2"/>
        <v>1.00514333333333</v>
      </c>
    </row>
    <row r="102" spans="1:10">
      <c r="A102" s="1" t="s">
        <v>114</v>
      </c>
      <c r="B102" s="1">
        <v>1.002294</v>
      </c>
      <c r="C102" s="1">
        <v>0.979114</v>
      </c>
      <c r="D102" s="1">
        <v>1.029114</v>
      </c>
      <c r="E102" s="1">
        <v>0</v>
      </c>
      <c r="F102" s="1">
        <v>0</v>
      </c>
      <c r="G102" s="1">
        <v>0</v>
      </c>
      <c r="H102" s="1">
        <v>0</v>
      </c>
      <c r="I102" s="1" t="s">
        <v>231</v>
      </c>
      <c r="J102" s="1">
        <f t="shared" si="2"/>
        <v>1.00350733333333</v>
      </c>
    </row>
    <row r="103" spans="1:10">
      <c r="A103" s="1" t="s">
        <v>115</v>
      </c>
      <c r="B103" s="1">
        <v>1.000476</v>
      </c>
      <c r="C103" s="1">
        <v>0.977994</v>
      </c>
      <c r="D103" s="1">
        <v>0.977562</v>
      </c>
      <c r="E103" s="1">
        <v>0</v>
      </c>
      <c r="F103" s="1">
        <v>0</v>
      </c>
      <c r="G103" s="1">
        <v>0</v>
      </c>
      <c r="H103" s="1">
        <v>0</v>
      </c>
      <c r="I103" s="1" t="s">
        <v>231</v>
      </c>
      <c r="J103" s="1">
        <f t="shared" si="2"/>
        <v>0.985344</v>
      </c>
    </row>
    <row r="104" spans="1:10">
      <c r="A104" s="1" t="s">
        <v>116</v>
      </c>
      <c r="B104" s="1">
        <v>1.038095</v>
      </c>
      <c r="C104" s="1">
        <v>1.696873</v>
      </c>
      <c r="D104" s="1">
        <v>1.758125</v>
      </c>
      <c r="E104" s="1">
        <v>0</v>
      </c>
      <c r="F104" s="1">
        <v>0</v>
      </c>
      <c r="G104" s="1">
        <v>0</v>
      </c>
      <c r="H104" s="1">
        <v>0</v>
      </c>
      <c r="I104" s="1" t="s">
        <v>231</v>
      </c>
      <c r="J104" s="1">
        <f t="shared" si="2"/>
        <v>1.49769766666667</v>
      </c>
    </row>
    <row r="105" spans="1:10">
      <c r="A105" s="1" t="s">
        <v>117</v>
      </c>
      <c r="B105" s="1">
        <v>0.9952</v>
      </c>
      <c r="C105" s="1">
        <v>0.975551</v>
      </c>
      <c r="D105" s="1">
        <v>0.975978</v>
      </c>
      <c r="E105" s="1">
        <v>0</v>
      </c>
      <c r="F105" s="1">
        <v>0</v>
      </c>
      <c r="G105" s="1">
        <v>0</v>
      </c>
      <c r="H105" s="1">
        <v>0</v>
      </c>
      <c r="I105" s="1" t="s">
        <v>231</v>
      </c>
      <c r="J105" s="1">
        <f t="shared" si="2"/>
        <v>0.982243</v>
      </c>
    </row>
    <row r="106" spans="1:10">
      <c r="A106" s="1" t="s">
        <v>119</v>
      </c>
      <c r="B106" s="1">
        <v>1.061435</v>
      </c>
      <c r="C106" s="1">
        <v>1.004001</v>
      </c>
      <c r="D106" s="1">
        <v>1.061097</v>
      </c>
      <c r="E106" s="1">
        <v>0</v>
      </c>
      <c r="F106" s="1">
        <v>0</v>
      </c>
      <c r="G106" s="1">
        <v>0</v>
      </c>
      <c r="H106" s="1">
        <v>0</v>
      </c>
      <c r="I106" s="1" t="s">
        <v>231</v>
      </c>
      <c r="J106" s="1">
        <f t="shared" si="2"/>
        <v>1.04217766666667</v>
      </c>
    </row>
    <row r="107" spans="1:10">
      <c r="A107" s="1" t="s">
        <v>120</v>
      </c>
      <c r="B107" s="1">
        <v>0.765286</v>
      </c>
      <c r="C107" s="1">
        <v>0.751486</v>
      </c>
      <c r="D107" s="1">
        <v>0.681979</v>
      </c>
      <c r="E107" s="1">
        <v>0</v>
      </c>
      <c r="F107" s="1">
        <v>0</v>
      </c>
      <c r="G107" s="1">
        <v>0</v>
      </c>
      <c r="H107" s="1">
        <v>0</v>
      </c>
      <c r="I107" s="1" t="s">
        <v>231</v>
      </c>
      <c r="J107" s="1">
        <f t="shared" si="2"/>
        <v>0.732917</v>
      </c>
    </row>
    <row r="108" spans="1:10">
      <c r="A108" s="1" t="s">
        <v>121</v>
      </c>
      <c r="B108" s="1">
        <v>0</v>
      </c>
      <c r="C108" s="1">
        <v>0</v>
      </c>
      <c r="D108" s="1">
        <v>0</v>
      </c>
      <c r="E108" s="1">
        <v>0.987739</v>
      </c>
      <c r="F108" s="1">
        <v>1.028841</v>
      </c>
      <c r="G108" s="1">
        <v>0.982173</v>
      </c>
      <c r="H108" s="1">
        <v>0</v>
      </c>
      <c r="I108" s="1" t="s">
        <v>231</v>
      </c>
      <c r="J108" s="1">
        <f t="shared" si="2"/>
        <v>0.999584333333333</v>
      </c>
    </row>
    <row r="109" spans="1:10">
      <c r="A109" s="1" t="s">
        <v>122</v>
      </c>
      <c r="B109" s="1">
        <v>0</v>
      </c>
      <c r="C109" s="1">
        <v>0</v>
      </c>
      <c r="D109" s="1">
        <v>0</v>
      </c>
      <c r="E109" s="1">
        <v>0.999508</v>
      </c>
      <c r="F109" s="1">
        <v>0.995903</v>
      </c>
      <c r="G109" s="1">
        <v>0.932618</v>
      </c>
      <c r="H109" s="1">
        <v>0</v>
      </c>
      <c r="I109" s="1" t="s">
        <v>231</v>
      </c>
      <c r="J109" s="1">
        <f t="shared" si="2"/>
        <v>0.976009666666667</v>
      </c>
    </row>
    <row r="110" spans="1:10">
      <c r="A110" s="1" t="s">
        <v>123</v>
      </c>
      <c r="B110" s="1">
        <v>0</v>
      </c>
      <c r="C110" s="1">
        <v>0</v>
      </c>
      <c r="D110" s="1">
        <v>0</v>
      </c>
      <c r="E110" s="1">
        <v>0.988344</v>
      </c>
      <c r="F110" s="1">
        <v>0.97684</v>
      </c>
      <c r="G110" s="1">
        <v>0.983622</v>
      </c>
      <c r="H110" s="1">
        <v>0</v>
      </c>
      <c r="I110" s="1" t="s">
        <v>231</v>
      </c>
      <c r="J110" s="1">
        <f t="shared" si="2"/>
        <v>0.982935333333333</v>
      </c>
    </row>
    <row r="111" spans="1:10">
      <c r="A111" s="1" t="s">
        <v>124</v>
      </c>
      <c r="B111" s="1">
        <v>0</v>
      </c>
      <c r="C111" s="1">
        <v>0</v>
      </c>
      <c r="D111" s="1">
        <v>0</v>
      </c>
      <c r="E111" s="1">
        <v>0.987876</v>
      </c>
      <c r="F111" s="1">
        <v>1.030411</v>
      </c>
      <c r="G111" s="1">
        <v>0.957602</v>
      </c>
      <c r="H111" s="1">
        <v>0</v>
      </c>
      <c r="I111" s="1" t="s">
        <v>231</v>
      </c>
      <c r="J111" s="1">
        <f t="shared" si="2"/>
        <v>0.991963</v>
      </c>
    </row>
    <row r="112" spans="1:10">
      <c r="A112" s="1" t="s">
        <v>118</v>
      </c>
      <c r="B112" s="1">
        <v>3.296712</v>
      </c>
      <c r="C112" s="1">
        <v>3.267612</v>
      </c>
      <c r="D112" s="1">
        <v>3.257353</v>
      </c>
      <c r="E112" s="1">
        <v>0</v>
      </c>
      <c r="F112" s="1">
        <v>0</v>
      </c>
      <c r="G112" s="1">
        <v>0</v>
      </c>
      <c r="H112" s="1">
        <v>0</v>
      </c>
      <c r="I112" s="1" t="s">
        <v>231</v>
      </c>
      <c r="J112" s="1">
        <f t="shared" si="2"/>
        <v>3.27389233333333</v>
      </c>
    </row>
    <row r="113" spans="1:10">
      <c r="A113" s="1" t="s">
        <v>125</v>
      </c>
      <c r="B113" s="1">
        <v>1.020313</v>
      </c>
      <c r="C113" s="1">
        <v>0.97696</v>
      </c>
      <c r="D113" s="1">
        <v>0.995023</v>
      </c>
      <c r="E113" s="1">
        <v>0</v>
      </c>
      <c r="F113" s="1">
        <v>0</v>
      </c>
      <c r="G113" s="1">
        <v>0</v>
      </c>
      <c r="H113" s="1">
        <v>0</v>
      </c>
      <c r="I113" s="1" t="s">
        <v>231</v>
      </c>
      <c r="J113" s="1">
        <f t="shared" si="2"/>
        <v>0.997432</v>
      </c>
    </row>
    <row r="114" spans="1:10">
      <c r="A114" s="1" t="s">
        <v>126</v>
      </c>
      <c r="B114" s="1">
        <v>1.676316</v>
      </c>
      <c r="C114" s="1">
        <v>1.744021</v>
      </c>
      <c r="D114" s="1">
        <v>1.686103</v>
      </c>
      <c r="E114" s="1">
        <v>0</v>
      </c>
      <c r="F114" s="1">
        <v>0</v>
      </c>
      <c r="G114" s="1">
        <v>0</v>
      </c>
      <c r="H114" s="1">
        <v>0</v>
      </c>
      <c r="I114" s="1" t="s">
        <v>231</v>
      </c>
      <c r="J114" s="1">
        <f t="shared" si="2"/>
        <v>1.70214666666667</v>
      </c>
    </row>
    <row r="115" spans="1:10">
      <c r="A115" s="1" t="s">
        <v>128</v>
      </c>
      <c r="B115" s="1">
        <v>1.580559</v>
      </c>
      <c r="C115" s="1">
        <v>1.56225</v>
      </c>
      <c r="D115" s="1">
        <v>1.579722</v>
      </c>
      <c r="E115" s="1">
        <v>0</v>
      </c>
      <c r="F115" s="1">
        <v>0</v>
      </c>
      <c r="G115" s="1">
        <v>0</v>
      </c>
      <c r="H115" s="1">
        <v>0</v>
      </c>
      <c r="I115" s="1" t="s">
        <v>231</v>
      </c>
      <c r="J115" s="1">
        <f t="shared" ref="J115:J158" si="3">AVERAGEIF(B115:H115,"&gt;0")</f>
        <v>1.574177</v>
      </c>
    </row>
    <row r="116" spans="1:10">
      <c r="A116" s="1" t="s">
        <v>129</v>
      </c>
      <c r="B116" s="1">
        <v>0.807815</v>
      </c>
      <c r="C116" s="1">
        <v>0.714421</v>
      </c>
      <c r="D116" s="1">
        <v>0.799654</v>
      </c>
      <c r="E116" s="1">
        <v>0</v>
      </c>
      <c r="F116" s="1">
        <v>0</v>
      </c>
      <c r="G116" s="1">
        <v>0</v>
      </c>
      <c r="H116" s="1">
        <v>0</v>
      </c>
      <c r="I116" s="1" t="s">
        <v>231</v>
      </c>
      <c r="J116" s="1">
        <f t="shared" si="3"/>
        <v>0.773963333333333</v>
      </c>
    </row>
    <row r="117" spans="1:10">
      <c r="A117" s="1" t="s">
        <v>240</v>
      </c>
      <c r="B117" s="1">
        <v>0.97612</v>
      </c>
      <c r="C117" s="1">
        <v>1.163418</v>
      </c>
      <c r="D117" s="1">
        <v>0.972375</v>
      </c>
      <c r="E117" s="1">
        <v>0</v>
      </c>
      <c r="F117" s="1">
        <v>0</v>
      </c>
      <c r="G117" s="1">
        <v>0</v>
      </c>
      <c r="H117" s="1">
        <v>0</v>
      </c>
      <c r="I117" s="1" t="s">
        <v>231</v>
      </c>
      <c r="J117" s="1">
        <f t="shared" si="3"/>
        <v>1.03730433333333</v>
      </c>
    </row>
    <row r="118" spans="1:10">
      <c r="A118" s="1" t="s">
        <v>241</v>
      </c>
      <c r="B118" s="1">
        <v>0.970046</v>
      </c>
      <c r="C118" s="1">
        <v>0.914684</v>
      </c>
      <c r="D118" s="1">
        <v>0.973204</v>
      </c>
      <c r="E118" s="1">
        <v>0</v>
      </c>
      <c r="F118" s="1">
        <v>0</v>
      </c>
      <c r="G118" s="1">
        <v>0</v>
      </c>
      <c r="H118" s="1">
        <v>0</v>
      </c>
      <c r="I118" s="1" t="s">
        <v>231</v>
      </c>
      <c r="J118" s="1">
        <f t="shared" si="3"/>
        <v>0.952644666666667</v>
      </c>
    </row>
    <row r="119" spans="1:10">
      <c r="A119" s="1" t="s">
        <v>130</v>
      </c>
      <c r="B119" s="1">
        <v>1.00484</v>
      </c>
      <c r="C119" s="1">
        <v>1.00136</v>
      </c>
      <c r="D119" s="1">
        <v>1.007619</v>
      </c>
      <c r="E119" s="1">
        <v>0</v>
      </c>
      <c r="F119" s="1">
        <v>0</v>
      </c>
      <c r="G119" s="1">
        <v>0</v>
      </c>
      <c r="H119" s="1">
        <v>0</v>
      </c>
      <c r="I119" s="1" t="s">
        <v>231</v>
      </c>
      <c r="J119" s="1">
        <f t="shared" si="3"/>
        <v>1.00460633333333</v>
      </c>
    </row>
    <row r="120" spans="1:10">
      <c r="A120" s="1" t="s">
        <v>131</v>
      </c>
      <c r="B120" s="1">
        <v>0.783021</v>
      </c>
      <c r="C120" s="1">
        <v>0.741301</v>
      </c>
      <c r="D120" s="1">
        <v>0.779055</v>
      </c>
      <c r="E120" s="1">
        <v>0</v>
      </c>
      <c r="F120" s="1">
        <v>0</v>
      </c>
      <c r="G120" s="1">
        <v>0</v>
      </c>
      <c r="H120" s="1">
        <v>0</v>
      </c>
      <c r="I120" s="1" t="s">
        <v>231</v>
      </c>
      <c r="J120" s="1">
        <f t="shared" si="3"/>
        <v>0.767792333333333</v>
      </c>
    </row>
    <row r="121" spans="1:10">
      <c r="A121" s="1" t="s">
        <v>132</v>
      </c>
      <c r="B121" s="1">
        <v>0.820387</v>
      </c>
      <c r="C121" s="1">
        <v>0.745051</v>
      </c>
      <c r="D121" s="1">
        <v>0.8667</v>
      </c>
      <c r="E121" s="1">
        <v>0</v>
      </c>
      <c r="F121" s="1">
        <v>0</v>
      </c>
      <c r="G121" s="1">
        <v>0</v>
      </c>
      <c r="H121" s="1">
        <v>0</v>
      </c>
      <c r="I121" s="1" t="s">
        <v>231</v>
      </c>
      <c r="J121" s="1">
        <f t="shared" si="3"/>
        <v>0.810712666666667</v>
      </c>
    </row>
    <row r="122" spans="1:10">
      <c r="A122" s="1" t="s">
        <v>133</v>
      </c>
      <c r="B122" s="1">
        <v>1.002961</v>
      </c>
      <c r="C122" s="1">
        <v>1.001141</v>
      </c>
      <c r="D122" s="1">
        <v>0.979989</v>
      </c>
      <c r="E122" s="1">
        <v>0</v>
      </c>
      <c r="F122" s="1">
        <v>0</v>
      </c>
      <c r="G122" s="1">
        <v>0</v>
      </c>
      <c r="H122" s="1">
        <v>0</v>
      </c>
      <c r="I122" s="1" t="s">
        <v>231</v>
      </c>
      <c r="J122" s="1">
        <f t="shared" si="3"/>
        <v>0.994697</v>
      </c>
    </row>
    <row r="123" spans="1:10">
      <c r="A123" s="1" t="s">
        <v>134</v>
      </c>
      <c r="B123" s="1">
        <v>0.865268</v>
      </c>
      <c r="C123" s="1">
        <v>0.78994</v>
      </c>
      <c r="D123" s="1">
        <v>0.941085</v>
      </c>
      <c r="E123" s="1">
        <v>0</v>
      </c>
      <c r="F123" s="1">
        <v>0</v>
      </c>
      <c r="G123" s="1">
        <v>0</v>
      </c>
      <c r="H123" s="1">
        <v>0</v>
      </c>
      <c r="I123" s="1" t="s">
        <v>231</v>
      </c>
      <c r="J123" s="1">
        <f t="shared" si="3"/>
        <v>0.865431</v>
      </c>
    </row>
    <row r="124" spans="1:10">
      <c r="A124" s="1" t="s">
        <v>135</v>
      </c>
      <c r="B124" s="1">
        <v>1.655704</v>
      </c>
      <c r="C124" s="1">
        <v>1.659155</v>
      </c>
      <c r="D124" s="1">
        <v>1.656675</v>
      </c>
      <c r="E124" s="1">
        <v>0</v>
      </c>
      <c r="F124" s="1">
        <v>0</v>
      </c>
      <c r="G124" s="1">
        <v>0</v>
      </c>
      <c r="H124" s="1">
        <v>0</v>
      </c>
      <c r="I124" s="1" t="s">
        <v>231</v>
      </c>
      <c r="J124" s="1">
        <f t="shared" si="3"/>
        <v>1.657178</v>
      </c>
    </row>
    <row r="125" spans="1:10">
      <c r="A125" s="1" t="s">
        <v>136</v>
      </c>
      <c r="B125" s="1">
        <v>1.005074</v>
      </c>
      <c r="C125" s="1">
        <v>1.02755</v>
      </c>
      <c r="D125" s="1">
        <v>1.006952</v>
      </c>
      <c r="E125" s="1">
        <v>0</v>
      </c>
      <c r="F125" s="1">
        <v>0</v>
      </c>
      <c r="G125" s="1">
        <v>0</v>
      </c>
      <c r="H125" s="1">
        <v>0</v>
      </c>
      <c r="I125" s="1" t="s">
        <v>231</v>
      </c>
      <c r="J125" s="1">
        <f t="shared" si="3"/>
        <v>1.013192</v>
      </c>
    </row>
    <row r="126" spans="1:10">
      <c r="A126" s="1" t="s">
        <v>137</v>
      </c>
      <c r="B126" s="1">
        <v>1.002609</v>
      </c>
      <c r="C126" s="1">
        <v>1.000289</v>
      </c>
      <c r="D126" s="1">
        <v>1.00516</v>
      </c>
      <c r="E126" s="1">
        <v>0</v>
      </c>
      <c r="F126" s="1">
        <v>0</v>
      </c>
      <c r="G126" s="1">
        <v>0</v>
      </c>
      <c r="H126" s="1">
        <v>0</v>
      </c>
      <c r="I126" s="1" t="s">
        <v>231</v>
      </c>
      <c r="J126" s="1">
        <f t="shared" si="3"/>
        <v>1.002686</v>
      </c>
    </row>
    <row r="127" spans="1:10">
      <c r="A127" s="1" t="s">
        <v>138</v>
      </c>
      <c r="B127" s="1">
        <v>1.693734</v>
      </c>
      <c r="C127" s="1">
        <v>1.73191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 t="s">
        <v>231</v>
      </c>
      <c r="J127" s="1">
        <f t="shared" si="3"/>
        <v>1.712822</v>
      </c>
    </row>
    <row r="128" spans="1:10">
      <c r="A128" s="1" t="s">
        <v>139</v>
      </c>
      <c r="B128" s="1">
        <v>1.030023</v>
      </c>
      <c r="C128" s="1">
        <v>1.018982</v>
      </c>
      <c r="D128" s="1">
        <v>1.018188</v>
      </c>
      <c r="E128" s="1">
        <v>0</v>
      </c>
      <c r="F128" s="1">
        <v>0</v>
      </c>
      <c r="G128" s="1">
        <v>0</v>
      </c>
      <c r="H128" s="1">
        <v>0</v>
      </c>
      <c r="I128" s="1" t="s">
        <v>231</v>
      </c>
      <c r="J128" s="1">
        <f t="shared" si="3"/>
        <v>1.02239766666667</v>
      </c>
    </row>
    <row r="129" spans="1:10">
      <c r="A129" s="1" t="s">
        <v>140</v>
      </c>
      <c r="B129" s="1">
        <v>0.99489</v>
      </c>
      <c r="C129" s="1">
        <v>0.997296</v>
      </c>
      <c r="D129" s="1">
        <v>1.0115</v>
      </c>
      <c r="E129" s="1">
        <v>0</v>
      </c>
      <c r="F129" s="1">
        <v>0</v>
      </c>
      <c r="G129" s="1">
        <v>0</v>
      </c>
      <c r="H129" s="1">
        <v>0</v>
      </c>
      <c r="I129" s="1" t="s">
        <v>231</v>
      </c>
      <c r="J129" s="1">
        <f t="shared" si="3"/>
        <v>1.00122866666667</v>
      </c>
    </row>
    <row r="130" spans="1:10">
      <c r="A130" s="1" t="s">
        <v>141</v>
      </c>
      <c r="B130" s="1">
        <v>1.014065</v>
      </c>
      <c r="C130" s="1">
        <v>0.97868</v>
      </c>
      <c r="D130" s="1">
        <v>0.980915</v>
      </c>
      <c r="E130" s="1">
        <v>0</v>
      </c>
      <c r="F130" s="1">
        <v>0</v>
      </c>
      <c r="G130" s="1">
        <v>0</v>
      </c>
      <c r="H130" s="1">
        <v>0</v>
      </c>
      <c r="I130" s="1" t="s">
        <v>231</v>
      </c>
      <c r="J130" s="1">
        <f t="shared" si="3"/>
        <v>0.99122</v>
      </c>
    </row>
    <row r="131" spans="1:10">
      <c r="A131" s="1" t="s">
        <v>142</v>
      </c>
      <c r="B131" s="1">
        <v>0.993598</v>
      </c>
      <c r="C131" s="1">
        <v>1.027247</v>
      </c>
      <c r="D131" s="1">
        <v>0.993595</v>
      </c>
      <c r="E131" s="1">
        <v>0</v>
      </c>
      <c r="F131" s="1">
        <v>0</v>
      </c>
      <c r="G131" s="1">
        <v>0</v>
      </c>
      <c r="H131" s="1">
        <v>0</v>
      </c>
      <c r="I131" s="1" t="s">
        <v>231</v>
      </c>
      <c r="J131" s="1">
        <f t="shared" si="3"/>
        <v>1.00481333333333</v>
      </c>
    </row>
    <row r="132" spans="1:10">
      <c r="A132" s="1" t="s">
        <v>143</v>
      </c>
      <c r="B132" s="1">
        <v>0.993132</v>
      </c>
      <c r="C132" s="1">
        <v>0.979643</v>
      </c>
      <c r="D132" s="1">
        <v>0.992941</v>
      </c>
      <c r="E132" s="1">
        <v>0</v>
      </c>
      <c r="F132" s="1">
        <v>0</v>
      </c>
      <c r="G132" s="1">
        <v>0</v>
      </c>
      <c r="H132" s="1">
        <v>0</v>
      </c>
      <c r="I132" s="1" t="s">
        <v>231</v>
      </c>
      <c r="J132" s="1">
        <f t="shared" si="3"/>
        <v>0.988572</v>
      </c>
    </row>
    <row r="133" spans="1:10">
      <c r="A133" s="1" t="s">
        <v>144</v>
      </c>
      <c r="B133" s="1">
        <v>0.368734</v>
      </c>
      <c r="C133" s="1">
        <v>1.708788</v>
      </c>
      <c r="D133" s="1">
        <v>0.368417</v>
      </c>
      <c r="E133" s="1">
        <v>0</v>
      </c>
      <c r="F133" s="1">
        <v>0</v>
      </c>
      <c r="G133" s="1">
        <v>0</v>
      </c>
      <c r="H133" s="1">
        <v>0</v>
      </c>
      <c r="I133" s="1" t="s">
        <v>231</v>
      </c>
      <c r="J133" s="1">
        <f t="shared" si="3"/>
        <v>0.815313</v>
      </c>
    </row>
    <row r="134" spans="1:10">
      <c r="A134" s="1" t="s">
        <v>145</v>
      </c>
      <c r="B134" s="1">
        <v>0.411009</v>
      </c>
      <c r="C134" s="1">
        <v>0.434889</v>
      </c>
      <c r="D134" s="1">
        <v>0.409114</v>
      </c>
      <c r="E134" s="1">
        <v>0.409617</v>
      </c>
      <c r="F134" s="1">
        <v>0.437929</v>
      </c>
      <c r="G134" s="1">
        <v>0.40521</v>
      </c>
      <c r="H134" s="1">
        <v>0</v>
      </c>
      <c r="I134" s="1" t="s">
        <v>231</v>
      </c>
      <c r="J134" s="1">
        <f t="shared" si="3"/>
        <v>0.417961333333333</v>
      </c>
    </row>
    <row r="135" spans="1:10">
      <c r="A135" s="1" t="s">
        <v>146</v>
      </c>
      <c r="B135" s="1">
        <v>1.436755</v>
      </c>
      <c r="C135" s="1">
        <v>1.815195</v>
      </c>
      <c r="D135" s="1">
        <v>1.427514</v>
      </c>
      <c r="E135" s="1">
        <v>0</v>
      </c>
      <c r="F135" s="1">
        <v>0</v>
      </c>
      <c r="G135" s="1">
        <v>0</v>
      </c>
      <c r="H135" s="1">
        <v>0</v>
      </c>
      <c r="I135" s="1" t="s">
        <v>231</v>
      </c>
      <c r="J135" s="1">
        <f t="shared" si="3"/>
        <v>1.55982133333333</v>
      </c>
    </row>
    <row r="136" spans="1:10">
      <c r="A136" s="1" t="s">
        <v>147</v>
      </c>
      <c r="B136" s="1">
        <v>1.040888</v>
      </c>
      <c r="C136" s="1">
        <v>1.000444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 t="s">
        <v>231</v>
      </c>
      <c r="J136" s="1">
        <f t="shared" si="3"/>
        <v>1.01377733333333</v>
      </c>
    </row>
    <row r="137" spans="1:10">
      <c r="A137" s="1" t="s">
        <v>148</v>
      </c>
      <c r="B137" s="1">
        <v>0.999705</v>
      </c>
      <c r="C137" s="1">
        <v>1.000444</v>
      </c>
      <c r="D137" s="1">
        <v>0.993005</v>
      </c>
      <c r="E137" s="1">
        <v>0</v>
      </c>
      <c r="F137" s="1">
        <v>0</v>
      </c>
      <c r="G137" s="1">
        <v>0</v>
      </c>
      <c r="H137" s="1">
        <v>0</v>
      </c>
      <c r="I137" s="1" t="s">
        <v>231</v>
      </c>
      <c r="J137" s="1">
        <f t="shared" si="3"/>
        <v>0.997718</v>
      </c>
    </row>
    <row r="138" spans="1:10">
      <c r="A138" s="1" t="s">
        <v>149</v>
      </c>
      <c r="B138" s="1">
        <v>1.075603</v>
      </c>
      <c r="C138" s="1">
        <v>1.159342</v>
      </c>
      <c r="D138" s="1">
        <v>1.109709</v>
      </c>
      <c r="E138" s="1">
        <v>0</v>
      </c>
      <c r="F138" s="1">
        <v>0</v>
      </c>
      <c r="G138" s="1">
        <v>0</v>
      </c>
      <c r="H138" s="1">
        <v>0</v>
      </c>
      <c r="I138" s="1" t="s">
        <v>231</v>
      </c>
      <c r="J138" s="1">
        <f t="shared" si="3"/>
        <v>1.11488466666667</v>
      </c>
    </row>
    <row r="139" spans="1:10">
      <c r="A139" s="1" t="s">
        <v>150</v>
      </c>
      <c r="B139" s="1">
        <v>0.998257</v>
      </c>
      <c r="C139" s="1">
        <v>1.199505</v>
      </c>
      <c r="D139" s="1">
        <v>1.027125</v>
      </c>
      <c r="E139" s="1">
        <v>0</v>
      </c>
      <c r="F139" s="1">
        <v>0</v>
      </c>
      <c r="G139" s="1">
        <v>0</v>
      </c>
      <c r="H139" s="1">
        <v>0</v>
      </c>
      <c r="I139" s="1" t="s">
        <v>231</v>
      </c>
      <c r="J139" s="1">
        <f t="shared" si="3"/>
        <v>1.07496233333333</v>
      </c>
    </row>
    <row r="140" spans="1:10">
      <c r="A140" s="1" t="s">
        <v>151</v>
      </c>
      <c r="B140" s="1">
        <v>0</v>
      </c>
      <c r="C140" s="1">
        <v>0.955623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 t="s">
        <v>231</v>
      </c>
      <c r="J140" s="1">
        <f t="shared" si="3"/>
        <v>0.955623</v>
      </c>
    </row>
    <row r="141" spans="1:10">
      <c r="A141" s="1" t="s">
        <v>152</v>
      </c>
      <c r="B141" s="1">
        <v>0.915083</v>
      </c>
      <c r="C141" s="1">
        <v>1.038392</v>
      </c>
      <c r="D141" s="1">
        <v>0.937123</v>
      </c>
      <c r="E141" s="1">
        <v>0</v>
      </c>
      <c r="F141" s="1">
        <v>0</v>
      </c>
      <c r="G141" s="1">
        <v>0</v>
      </c>
      <c r="H141" s="1">
        <v>0</v>
      </c>
      <c r="I141" s="1" t="s">
        <v>231</v>
      </c>
      <c r="J141" s="1">
        <f t="shared" si="3"/>
        <v>0.963532666666667</v>
      </c>
    </row>
    <row r="142" spans="1:10">
      <c r="A142" s="1" t="s">
        <v>153</v>
      </c>
      <c r="B142" s="1">
        <v>0.96624</v>
      </c>
      <c r="C142" s="1">
        <v>1.021179</v>
      </c>
      <c r="D142" s="1">
        <v>0.967235</v>
      </c>
      <c r="E142" s="1">
        <v>0</v>
      </c>
      <c r="F142" s="1">
        <v>0</v>
      </c>
      <c r="G142" s="1">
        <v>0</v>
      </c>
      <c r="H142" s="1">
        <v>0</v>
      </c>
      <c r="I142" s="1" t="s">
        <v>231</v>
      </c>
      <c r="J142" s="1">
        <f t="shared" si="3"/>
        <v>0.984884666666667</v>
      </c>
    </row>
    <row r="143" spans="1:10">
      <c r="A143" s="1" t="s">
        <v>154</v>
      </c>
      <c r="B143" s="1">
        <v>0.819826</v>
      </c>
      <c r="C143" s="1">
        <v>0.764158</v>
      </c>
      <c r="D143" s="1">
        <v>0.789653</v>
      </c>
      <c r="E143" s="1">
        <v>0</v>
      </c>
      <c r="F143" s="1">
        <v>0</v>
      </c>
      <c r="G143" s="1">
        <v>0</v>
      </c>
      <c r="H143" s="1">
        <v>0</v>
      </c>
      <c r="I143" s="1" t="s">
        <v>231</v>
      </c>
      <c r="J143" s="1">
        <f t="shared" si="3"/>
        <v>0.791212333333333</v>
      </c>
    </row>
    <row r="144" spans="1:10">
      <c r="A144" s="1" t="s">
        <v>156</v>
      </c>
      <c r="B144" s="1">
        <v>1.432961</v>
      </c>
      <c r="C144" s="1">
        <v>1.086851</v>
      </c>
      <c r="D144" s="1">
        <v>1.456907</v>
      </c>
      <c r="E144" s="1">
        <v>0</v>
      </c>
      <c r="F144" s="1">
        <v>0</v>
      </c>
      <c r="G144" s="1">
        <v>0</v>
      </c>
      <c r="H144" s="1">
        <v>0</v>
      </c>
      <c r="I144" s="1" t="s">
        <v>231</v>
      </c>
      <c r="J144" s="1">
        <f t="shared" si="3"/>
        <v>1.325573</v>
      </c>
    </row>
    <row r="145" spans="1:10">
      <c r="A145" s="1" t="s">
        <v>157</v>
      </c>
      <c r="B145" s="1">
        <v>1.431767</v>
      </c>
      <c r="C145" s="1">
        <v>1.06486</v>
      </c>
      <c r="D145" s="1">
        <v>1.430477</v>
      </c>
      <c r="E145" s="1">
        <v>0</v>
      </c>
      <c r="F145" s="1">
        <v>0</v>
      </c>
      <c r="G145" s="1">
        <v>0</v>
      </c>
      <c r="H145" s="1">
        <v>0</v>
      </c>
      <c r="I145" s="1" t="s">
        <v>231</v>
      </c>
      <c r="J145" s="1">
        <f t="shared" si="3"/>
        <v>1.30903466666667</v>
      </c>
    </row>
    <row r="146" spans="1:10">
      <c r="A146" s="1" t="s">
        <v>158</v>
      </c>
      <c r="B146" s="1">
        <v>0.8896</v>
      </c>
      <c r="C146" s="1">
        <v>0.913608</v>
      </c>
      <c r="D146" s="1">
        <v>0.912966</v>
      </c>
      <c r="E146" s="1">
        <v>0</v>
      </c>
      <c r="F146" s="1">
        <v>0</v>
      </c>
      <c r="G146" s="1">
        <v>0</v>
      </c>
      <c r="H146" s="1">
        <v>0</v>
      </c>
      <c r="I146" s="1" t="s">
        <v>231</v>
      </c>
      <c r="J146" s="1">
        <f t="shared" si="3"/>
        <v>0.905391333333333</v>
      </c>
    </row>
    <row r="147" spans="1:10">
      <c r="A147" s="1" t="s">
        <v>159</v>
      </c>
      <c r="B147" s="1">
        <v>0.91416</v>
      </c>
      <c r="C147" s="1">
        <v>0.897606</v>
      </c>
      <c r="D147" s="1">
        <v>0.908368</v>
      </c>
      <c r="E147" s="1">
        <v>0</v>
      </c>
      <c r="F147" s="1">
        <v>0</v>
      </c>
      <c r="G147" s="1">
        <v>0</v>
      </c>
      <c r="H147" s="1">
        <v>0</v>
      </c>
      <c r="I147" s="1" t="s">
        <v>231</v>
      </c>
      <c r="J147" s="1">
        <f t="shared" si="3"/>
        <v>0.906711333333333</v>
      </c>
    </row>
    <row r="148" spans="1:10">
      <c r="A148" s="1" t="s">
        <v>160</v>
      </c>
      <c r="B148" s="1">
        <v>0.514698</v>
      </c>
      <c r="C148" s="1">
        <v>0</v>
      </c>
      <c r="D148" s="1">
        <v>0</v>
      </c>
      <c r="E148" s="1">
        <v>0</v>
      </c>
      <c r="F148" s="1">
        <v>0.638376</v>
      </c>
      <c r="G148" s="1">
        <v>0</v>
      </c>
      <c r="H148" s="1">
        <v>0</v>
      </c>
      <c r="I148" s="1" t="s">
        <v>231</v>
      </c>
      <c r="J148" s="1">
        <f t="shared" si="3"/>
        <v>0.576537</v>
      </c>
    </row>
    <row r="149" spans="1:10">
      <c r="A149" s="1" t="s">
        <v>161</v>
      </c>
      <c r="B149" s="1">
        <v>0.995109</v>
      </c>
      <c r="C149" s="1">
        <v>1.029592</v>
      </c>
      <c r="D149" s="1">
        <v>0.990856</v>
      </c>
      <c r="E149" s="1">
        <v>0</v>
      </c>
      <c r="F149" s="1">
        <v>0</v>
      </c>
      <c r="G149" s="1">
        <v>0</v>
      </c>
      <c r="H149" s="1">
        <v>0</v>
      </c>
      <c r="I149" s="1" t="s">
        <v>231</v>
      </c>
      <c r="J149" s="1">
        <f t="shared" si="3"/>
        <v>1.00518566666667</v>
      </c>
    </row>
    <row r="150" spans="1:10">
      <c r="A150" s="1" t="s">
        <v>162</v>
      </c>
      <c r="B150" s="1">
        <v>1.01811</v>
      </c>
      <c r="C150" s="1">
        <v>1.000095</v>
      </c>
      <c r="D150" s="1">
        <v>1.018269</v>
      </c>
      <c r="E150" s="1">
        <v>0</v>
      </c>
      <c r="F150" s="1">
        <v>0</v>
      </c>
      <c r="G150" s="1">
        <v>0</v>
      </c>
      <c r="H150" s="1">
        <v>0</v>
      </c>
      <c r="I150" s="1" t="s">
        <v>231</v>
      </c>
      <c r="J150" s="1">
        <f t="shared" si="3"/>
        <v>1.012158</v>
      </c>
    </row>
    <row r="151" spans="1:10">
      <c r="A151" s="1" t="s">
        <v>163</v>
      </c>
      <c r="B151" s="1">
        <v>0.989704</v>
      </c>
      <c r="C151" s="1">
        <v>1.028863</v>
      </c>
      <c r="D151" s="1">
        <v>1.027793</v>
      </c>
      <c r="E151" s="1">
        <v>0</v>
      </c>
      <c r="F151" s="1">
        <v>0</v>
      </c>
      <c r="G151" s="1">
        <v>0</v>
      </c>
      <c r="H151" s="1">
        <v>0</v>
      </c>
      <c r="I151" s="1" t="s">
        <v>231</v>
      </c>
      <c r="J151" s="1">
        <f t="shared" si="3"/>
        <v>1.01545333333333</v>
      </c>
    </row>
    <row r="152" spans="1:10">
      <c r="A152" s="1" t="s">
        <v>164</v>
      </c>
      <c r="B152" s="1">
        <v>0.992456</v>
      </c>
      <c r="C152" s="1">
        <v>0.999448</v>
      </c>
      <c r="D152" s="1">
        <v>0.992199</v>
      </c>
      <c r="E152" s="1">
        <v>0</v>
      </c>
      <c r="F152" s="1">
        <v>0</v>
      </c>
      <c r="G152" s="1">
        <v>0</v>
      </c>
      <c r="H152" s="1">
        <v>0</v>
      </c>
      <c r="I152" s="1" t="s">
        <v>231</v>
      </c>
      <c r="J152" s="1">
        <f t="shared" si="3"/>
        <v>0.994701</v>
      </c>
    </row>
    <row r="153" spans="1:10">
      <c r="A153" s="1" t="s">
        <v>165</v>
      </c>
      <c r="B153" s="1">
        <v>0</v>
      </c>
      <c r="C153" s="1">
        <v>0</v>
      </c>
      <c r="D153" s="1">
        <v>0</v>
      </c>
      <c r="E153" s="1">
        <v>0.995316</v>
      </c>
      <c r="F153" s="1">
        <v>1.033617</v>
      </c>
      <c r="G153" s="1">
        <v>0</v>
      </c>
      <c r="H153" s="1">
        <v>0</v>
      </c>
      <c r="I153" s="1" t="s">
        <v>231</v>
      </c>
      <c r="J153" s="1">
        <f t="shared" si="3"/>
        <v>1.0144665</v>
      </c>
    </row>
    <row r="154" spans="1:10">
      <c r="A154" s="1" t="s">
        <v>166</v>
      </c>
      <c r="B154" s="1">
        <v>0</v>
      </c>
      <c r="C154" s="1">
        <v>0</v>
      </c>
      <c r="D154" s="1">
        <v>0</v>
      </c>
      <c r="E154" s="1">
        <v>0.999757</v>
      </c>
      <c r="F154" s="1">
        <v>0.98609</v>
      </c>
      <c r="G154" s="1">
        <v>0</v>
      </c>
      <c r="H154" s="1">
        <v>0</v>
      </c>
      <c r="I154" s="1" t="s">
        <v>231</v>
      </c>
      <c r="J154" s="1">
        <f t="shared" si="3"/>
        <v>0.9929235</v>
      </c>
    </row>
    <row r="155" spans="1:10">
      <c r="A155" s="1" t="s">
        <v>167</v>
      </c>
      <c r="B155" s="1">
        <v>1.157475</v>
      </c>
      <c r="C155" s="1">
        <v>1.05</v>
      </c>
      <c r="D155" s="1">
        <v>1.187229</v>
      </c>
      <c r="E155" s="1">
        <v>0</v>
      </c>
      <c r="F155" s="1">
        <v>0</v>
      </c>
      <c r="G155" s="1">
        <v>0</v>
      </c>
      <c r="H155" s="1">
        <v>0</v>
      </c>
      <c r="I155" s="1" t="s">
        <v>231</v>
      </c>
      <c r="J155" s="1">
        <f t="shared" si="3"/>
        <v>1.131568</v>
      </c>
    </row>
    <row r="156" spans="1:10">
      <c r="A156" s="1" t="s">
        <v>242</v>
      </c>
      <c r="B156" s="1">
        <v>1.107468</v>
      </c>
      <c r="C156" s="1">
        <v>1.128722</v>
      </c>
      <c r="D156" s="1">
        <v>1.164422</v>
      </c>
      <c r="E156" s="1">
        <v>0</v>
      </c>
      <c r="F156" s="1">
        <v>0</v>
      </c>
      <c r="G156" s="1">
        <v>0</v>
      </c>
      <c r="H156" s="1">
        <v>0</v>
      </c>
      <c r="I156" s="1" t="s">
        <v>231</v>
      </c>
      <c r="J156" s="1">
        <f t="shared" si="3"/>
        <v>1.13353733333333</v>
      </c>
    </row>
    <row r="157" spans="1:10">
      <c r="A157" s="1" t="s">
        <v>243</v>
      </c>
      <c r="B157" s="1">
        <v>0.035093</v>
      </c>
      <c r="C157" s="1">
        <v>0.036376</v>
      </c>
      <c r="D157" s="1">
        <v>0.035056</v>
      </c>
      <c r="E157" s="1">
        <v>0</v>
      </c>
      <c r="F157" s="1">
        <v>0</v>
      </c>
      <c r="G157" s="1">
        <v>0</v>
      </c>
      <c r="H157" s="1">
        <v>0</v>
      </c>
      <c r="I157" s="1" t="s">
        <v>231</v>
      </c>
      <c r="J157" s="1">
        <f t="shared" si="3"/>
        <v>0.0355083333333333</v>
      </c>
    </row>
    <row r="158" spans="1:10">
      <c r="A158" s="1" t="s">
        <v>244</v>
      </c>
      <c r="B158" s="1">
        <v>0</v>
      </c>
      <c r="C158" s="1">
        <v>0</v>
      </c>
      <c r="D158" s="1">
        <v>0</v>
      </c>
      <c r="E158" s="1">
        <v>0</v>
      </c>
      <c r="F158" s="1">
        <v>0.957148</v>
      </c>
      <c r="G158" s="1">
        <v>0</v>
      </c>
      <c r="H158" s="1">
        <v>0</v>
      </c>
      <c r="I158" s="1" t="s">
        <v>231</v>
      </c>
      <c r="J158" s="1">
        <f t="shared" si="3"/>
        <v>0.957148</v>
      </c>
    </row>
    <row r="159" spans="1:10">
      <c r="A159" s="1" t="s">
        <v>171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0.462776</v>
      </c>
      <c r="I159" s="1" t="s">
        <v>231</v>
      </c>
      <c r="J159" s="1">
        <f t="shared" ref="J159:J175" si="4">AVERAGEIF(B159:H159,"&gt;0")</f>
        <v>0.462776</v>
      </c>
    </row>
    <row r="160" spans="1:10">
      <c r="A160" s="1" t="s">
        <v>172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1.036356</v>
      </c>
      <c r="I160" s="1" t="s">
        <v>231</v>
      </c>
      <c r="J160" s="1">
        <f t="shared" si="4"/>
        <v>1.036356</v>
      </c>
    </row>
    <row r="161" spans="1:10">
      <c r="A161" s="1" t="s">
        <v>173</v>
      </c>
      <c r="B161" s="1">
        <v>5.336822</v>
      </c>
      <c r="C161" s="1">
        <v>2.617167</v>
      </c>
      <c r="D161" s="1">
        <v>5.350401</v>
      </c>
      <c r="E161" s="1">
        <v>0</v>
      </c>
      <c r="F161" s="1">
        <v>0</v>
      </c>
      <c r="G161" s="1">
        <v>0</v>
      </c>
      <c r="H161" s="1">
        <v>0</v>
      </c>
      <c r="I161" s="1" t="s">
        <v>231</v>
      </c>
      <c r="J161" s="1">
        <f t="shared" si="4"/>
        <v>4.43479666666667</v>
      </c>
    </row>
    <row r="162" spans="1:10">
      <c r="A162" s="1" t="s">
        <v>174</v>
      </c>
      <c r="B162" s="1">
        <v>0.991794</v>
      </c>
      <c r="C162" s="1">
        <v>1.00204</v>
      </c>
      <c r="D162" s="1">
        <v>1.017051</v>
      </c>
      <c r="E162" s="1">
        <v>0</v>
      </c>
      <c r="F162" s="1">
        <v>0</v>
      </c>
      <c r="G162" s="1">
        <v>0</v>
      </c>
      <c r="H162" s="1">
        <v>0</v>
      </c>
      <c r="I162" s="1" t="s">
        <v>231</v>
      </c>
      <c r="J162" s="1">
        <f t="shared" si="4"/>
        <v>1.00362833333333</v>
      </c>
    </row>
    <row r="163" spans="1:10">
      <c r="A163" s="1" t="s">
        <v>175</v>
      </c>
      <c r="B163" s="1">
        <v>0.992243</v>
      </c>
      <c r="C163" s="1">
        <v>0.999998</v>
      </c>
      <c r="D163" s="1">
        <v>0.992275</v>
      </c>
      <c r="E163" s="1">
        <v>0</v>
      </c>
      <c r="F163" s="1">
        <v>0</v>
      </c>
      <c r="G163" s="1">
        <v>0</v>
      </c>
      <c r="H163" s="1">
        <v>0</v>
      </c>
      <c r="I163" s="1" t="s">
        <v>231</v>
      </c>
      <c r="J163" s="1">
        <f t="shared" si="4"/>
        <v>0.994838666666667</v>
      </c>
    </row>
    <row r="164" spans="1:10">
      <c r="A164" s="1" t="s">
        <v>176</v>
      </c>
      <c r="B164" s="1">
        <v>2.656884</v>
      </c>
      <c r="C164" s="1">
        <v>2.887196</v>
      </c>
      <c r="D164" s="1">
        <v>2.273708</v>
      </c>
      <c r="E164" s="1">
        <v>0</v>
      </c>
      <c r="F164" s="1">
        <v>0</v>
      </c>
      <c r="G164" s="1">
        <v>0</v>
      </c>
      <c r="H164" s="1">
        <v>0</v>
      </c>
      <c r="I164" s="1" t="s">
        <v>231</v>
      </c>
      <c r="J164" s="1">
        <f t="shared" si="4"/>
        <v>2.60592933333333</v>
      </c>
    </row>
    <row r="165" spans="1:10">
      <c r="A165" s="1" t="s">
        <v>177</v>
      </c>
      <c r="B165" s="1">
        <v>1.666667</v>
      </c>
      <c r="C165" s="1">
        <v>2.17</v>
      </c>
      <c r="D165" s="1">
        <v>1.666667</v>
      </c>
      <c r="E165" s="1">
        <v>0</v>
      </c>
      <c r="F165" s="1">
        <v>0</v>
      </c>
      <c r="G165" s="1">
        <v>0</v>
      </c>
      <c r="H165" s="1">
        <v>0</v>
      </c>
      <c r="I165" s="1" t="s">
        <v>231</v>
      </c>
      <c r="J165" s="1">
        <f t="shared" si="4"/>
        <v>1.83444466666667</v>
      </c>
    </row>
    <row r="166" spans="1:10">
      <c r="A166" s="1" t="s">
        <v>178</v>
      </c>
      <c r="B166" s="1">
        <v>0.904194</v>
      </c>
      <c r="C166" s="1">
        <v>0</v>
      </c>
      <c r="D166" s="1">
        <v>0.904695</v>
      </c>
      <c r="E166" s="1">
        <v>0</v>
      </c>
      <c r="F166" s="1">
        <v>0</v>
      </c>
      <c r="G166" s="1">
        <v>0</v>
      </c>
      <c r="H166" s="1">
        <v>0</v>
      </c>
      <c r="I166" s="1" t="s">
        <v>231</v>
      </c>
      <c r="J166" s="1">
        <f t="shared" si="4"/>
        <v>0.9044445</v>
      </c>
    </row>
    <row r="167" spans="1:10">
      <c r="A167" s="1" t="s">
        <v>179</v>
      </c>
      <c r="B167" s="1">
        <v>1.238044</v>
      </c>
      <c r="C167" s="1">
        <v>1.22376</v>
      </c>
      <c r="D167" s="1">
        <v>1.237776</v>
      </c>
      <c r="E167" s="1">
        <v>0</v>
      </c>
      <c r="F167" s="1">
        <v>0</v>
      </c>
      <c r="G167" s="1">
        <v>0</v>
      </c>
      <c r="H167" s="1">
        <v>0</v>
      </c>
      <c r="I167" s="1" t="s">
        <v>231</v>
      </c>
      <c r="J167" s="1">
        <f t="shared" si="4"/>
        <v>1.23319333333333</v>
      </c>
    </row>
    <row r="168" spans="1:10">
      <c r="A168" s="1" t="s">
        <v>245</v>
      </c>
      <c r="B168" s="1">
        <v>1.237836</v>
      </c>
      <c r="C168" s="1">
        <v>1.223819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 t="s">
        <v>231</v>
      </c>
      <c r="J168" s="1">
        <f t="shared" si="4"/>
        <v>1.2308275</v>
      </c>
    </row>
    <row r="169" spans="1:10">
      <c r="A169" s="1" t="s">
        <v>181</v>
      </c>
      <c r="B169" s="1">
        <v>1.318022</v>
      </c>
      <c r="C169" s="1">
        <v>1.145432</v>
      </c>
      <c r="D169" s="1">
        <v>1.275228</v>
      </c>
      <c r="E169" s="1">
        <v>0</v>
      </c>
      <c r="F169" s="1">
        <v>0</v>
      </c>
      <c r="G169" s="1">
        <v>0</v>
      </c>
      <c r="H169" s="1">
        <v>0</v>
      </c>
      <c r="I169" s="1" t="s">
        <v>231</v>
      </c>
      <c r="J169" s="1">
        <f t="shared" si="4"/>
        <v>1.24622733333333</v>
      </c>
    </row>
    <row r="170" spans="1:10">
      <c r="A170" s="1" t="s">
        <v>182</v>
      </c>
      <c r="B170" s="1">
        <v>1.020027</v>
      </c>
      <c r="C170" s="1">
        <v>1.028637</v>
      </c>
      <c r="D170" s="1">
        <v>0.991082</v>
      </c>
      <c r="E170" s="1">
        <v>0</v>
      </c>
      <c r="F170" s="1">
        <v>0</v>
      </c>
      <c r="G170" s="1">
        <v>0</v>
      </c>
      <c r="H170" s="1">
        <v>0</v>
      </c>
      <c r="I170" s="1" t="s">
        <v>231</v>
      </c>
      <c r="J170" s="1">
        <f t="shared" si="4"/>
        <v>1.01324866666667</v>
      </c>
    </row>
    <row r="171" spans="1:10">
      <c r="A171" s="1" t="s">
        <v>183</v>
      </c>
      <c r="B171" s="1">
        <v>1.0174</v>
      </c>
      <c r="C171" s="1">
        <v>1.0009</v>
      </c>
      <c r="D171" s="1">
        <v>1.017339</v>
      </c>
      <c r="E171" s="1">
        <v>0</v>
      </c>
      <c r="F171" s="1">
        <v>0</v>
      </c>
      <c r="G171" s="1">
        <v>0</v>
      </c>
      <c r="H171" s="1">
        <v>0</v>
      </c>
      <c r="I171" s="1" t="s">
        <v>231</v>
      </c>
      <c r="J171" s="1">
        <f t="shared" si="4"/>
        <v>1.01187966666667</v>
      </c>
    </row>
    <row r="172" spans="1:10">
      <c r="A172" s="1" t="s">
        <v>184</v>
      </c>
      <c r="B172" s="1">
        <v>0.991089</v>
      </c>
      <c r="C172" s="1">
        <v>0.979045</v>
      </c>
      <c r="D172" s="1">
        <v>0.990713</v>
      </c>
      <c r="E172" s="1">
        <v>0</v>
      </c>
      <c r="F172" s="1">
        <v>0</v>
      </c>
      <c r="G172" s="1">
        <v>0</v>
      </c>
      <c r="H172" s="1">
        <v>0</v>
      </c>
      <c r="I172" s="1" t="s">
        <v>231</v>
      </c>
      <c r="J172" s="1">
        <f t="shared" si="4"/>
        <v>0.986949</v>
      </c>
    </row>
    <row r="173" spans="1:10">
      <c r="A173" s="1" t="s">
        <v>185</v>
      </c>
      <c r="B173" s="1">
        <v>1.017053</v>
      </c>
      <c r="C173" s="1">
        <v>0.999771</v>
      </c>
      <c r="D173" s="1">
        <v>1.017179</v>
      </c>
      <c r="E173" s="1">
        <v>0</v>
      </c>
      <c r="F173" s="1">
        <v>0</v>
      </c>
      <c r="G173" s="1">
        <v>0</v>
      </c>
      <c r="H173" s="1">
        <v>0</v>
      </c>
      <c r="I173" s="1" t="s">
        <v>231</v>
      </c>
      <c r="J173" s="1">
        <f t="shared" si="4"/>
        <v>1.01133433333333</v>
      </c>
    </row>
    <row r="174" spans="1:10">
      <c r="A174" s="1" t="s">
        <v>186</v>
      </c>
      <c r="B174" s="1">
        <v>1.566435</v>
      </c>
      <c r="C174" s="1">
        <v>1.575191</v>
      </c>
      <c r="D174" s="1">
        <v>1.595991</v>
      </c>
      <c r="E174" s="1">
        <v>0</v>
      </c>
      <c r="F174" s="1">
        <v>0</v>
      </c>
      <c r="G174" s="1">
        <v>0</v>
      </c>
      <c r="H174" s="1">
        <v>0</v>
      </c>
      <c r="I174" s="1" t="s">
        <v>231</v>
      </c>
      <c r="J174" s="1">
        <f t="shared" si="4"/>
        <v>1.57920566666667</v>
      </c>
    </row>
    <row r="175" spans="1:10">
      <c r="A175" s="1" t="s">
        <v>187</v>
      </c>
      <c r="B175" s="1">
        <v>0.988306</v>
      </c>
      <c r="C175" s="1">
        <v>1.02788</v>
      </c>
      <c r="D175" s="1">
        <v>0.953177</v>
      </c>
      <c r="E175" s="1">
        <v>0</v>
      </c>
      <c r="F175" s="1">
        <v>0</v>
      </c>
      <c r="G175" s="1">
        <v>0</v>
      </c>
      <c r="H175" s="1">
        <v>0</v>
      </c>
      <c r="I175" s="1" t="s">
        <v>231</v>
      </c>
      <c r="J175" s="1">
        <f t="shared" si="4"/>
        <v>0.989787666666667</v>
      </c>
    </row>
    <row r="176" spans="1:10">
      <c r="A176" s="1" t="s">
        <v>188</v>
      </c>
      <c r="B176" s="1">
        <v>0.981361</v>
      </c>
      <c r="C176" s="1">
        <v>1.001687</v>
      </c>
      <c r="D176" s="1">
        <v>0.981583</v>
      </c>
      <c r="E176" s="1">
        <v>0</v>
      </c>
      <c r="F176" s="1">
        <v>0</v>
      </c>
      <c r="G176" s="1">
        <v>0</v>
      </c>
      <c r="H176" s="1">
        <v>0</v>
      </c>
      <c r="I176" s="1" t="s">
        <v>231</v>
      </c>
      <c r="J176" s="1">
        <f t="shared" ref="J176:J210" si="5">AVERAGEIF(B176:H176,"&gt;0")</f>
        <v>0.988210333333333</v>
      </c>
    </row>
    <row r="177" spans="1:10">
      <c r="A177" s="1" t="s">
        <v>246</v>
      </c>
      <c r="B177" s="1">
        <v>1.741079</v>
      </c>
      <c r="C177" s="1">
        <v>1.664605</v>
      </c>
      <c r="D177" s="1">
        <v>1.719118</v>
      </c>
      <c r="E177" s="1">
        <v>0</v>
      </c>
      <c r="F177" s="1">
        <v>0</v>
      </c>
      <c r="G177" s="1">
        <v>0</v>
      </c>
      <c r="H177" s="1">
        <v>0</v>
      </c>
      <c r="I177" s="1" t="s">
        <v>231</v>
      </c>
      <c r="J177" s="1">
        <f t="shared" si="5"/>
        <v>1.70826733333333</v>
      </c>
    </row>
    <row r="178" spans="1:10">
      <c r="A178" s="1" t="s">
        <v>190</v>
      </c>
      <c r="B178" s="1">
        <v>1.597134</v>
      </c>
      <c r="C178" s="1">
        <v>1.536102</v>
      </c>
      <c r="D178" s="1">
        <v>1.575339</v>
      </c>
      <c r="E178" s="1">
        <v>0</v>
      </c>
      <c r="F178" s="1">
        <v>0</v>
      </c>
      <c r="G178" s="1">
        <v>0</v>
      </c>
      <c r="H178" s="1">
        <v>0</v>
      </c>
      <c r="I178" s="1" t="s">
        <v>231</v>
      </c>
      <c r="J178" s="1">
        <f t="shared" si="5"/>
        <v>1.569525</v>
      </c>
    </row>
    <row r="179" spans="1:10">
      <c r="A179" s="1" t="s">
        <v>191</v>
      </c>
      <c r="B179" s="1">
        <v>2.800681</v>
      </c>
      <c r="C179" s="1">
        <v>2.049487</v>
      </c>
      <c r="D179" s="1">
        <v>2.847836</v>
      </c>
      <c r="E179" s="1">
        <v>0</v>
      </c>
      <c r="F179" s="1">
        <v>0</v>
      </c>
      <c r="G179" s="1">
        <v>0</v>
      </c>
      <c r="H179" s="1">
        <v>0</v>
      </c>
      <c r="I179" s="1" t="s">
        <v>231</v>
      </c>
      <c r="J179" s="1">
        <f t="shared" si="5"/>
        <v>2.56600133333333</v>
      </c>
    </row>
    <row r="180" spans="1:10">
      <c r="A180" s="1" t="s">
        <v>247</v>
      </c>
      <c r="B180" s="1">
        <v>1.865452</v>
      </c>
      <c r="C180" s="1">
        <v>1.531544</v>
      </c>
      <c r="D180" s="1">
        <v>1.788529</v>
      </c>
      <c r="E180" s="1">
        <v>0</v>
      </c>
      <c r="F180" s="1">
        <v>0</v>
      </c>
      <c r="G180" s="1">
        <v>0</v>
      </c>
      <c r="H180" s="1">
        <v>0</v>
      </c>
      <c r="I180" s="1" t="s">
        <v>231</v>
      </c>
      <c r="J180" s="1">
        <f t="shared" si="5"/>
        <v>1.72850833333333</v>
      </c>
    </row>
    <row r="181" spans="1:10">
      <c r="A181" s="1" t="s">
        <v>192</v>
      </c>
      <c r="B181" s="1">
        <v>1.200162</v>
      </c>
      <c r="C181" s="1">
        <v>1.063627</v>
      </c>
      <c r="D181" s="1">
        <v>1.218789</v>
      </c>
      <c r="E181" s="1">
        <v>0</v>
      </c>
      <c r="F181" s="1">
        <v>0</v>
      </c>
      <c r="G181" s="1">
        <v>0</v>
      </c>
      <c r="H181" s="1">
        <v>0</v>
      </c>
      <c r="I181" s="1" t="s">
        <v>231</v>
      </c>
      <c r="J181" s="1">
        <f t="shared" si="5"/>
        <v>1.16085933333333</v>
      </c>
    </row>
    <row r="182" spans="1:10">
      <c r="A182" s="1" t="s">
        <v>193</v>
      </c>
      <c r="B182" s="1">
        <v>0.057347</v>
      </c>
      <c r="C182" s="1">
        <v>0.071534</v>
      </c>
      <c r="D182" s="1">
        <v>0.057097</v>
      </c>
      <c r="E182" s="1">
        <v>0.056692</v>
      </c>
      <c r="F182" s="1">
        <v>0.071622</v>
      </c>
      <c r="G182" s="1">
        <v>0</v>
      </c>
      <c r="H182" s="1">
        <v>0</v>
      </c>
      <c r="I182" s="1" t="s">
        <v>231</v>
      </c>
      <c r="J182" s="1">
        <f t="shared" si="5"/>
        <v>0.0628584</v>
      </c>
    </row>
    <row r="183" spans="1:10">
      <c r="A183" s="1" t="s">
        <v>194</v>
      </c>
      <c r="B183" s="1">
        <v>1.014757</v>
      </c>
      <c r="C183" s="1">
        <v>1.031165</v>
      </c>
      <c r="D183" s="1">
        <v>1.022287</v>
      </c>
      <c r="E183" s="1">
        <v>0</v>
      </c>
      <c r="F183" s="1">
        <v>0</v>
      </c>
      <c r="G183" s="1">
        <v>0</v>
      </c>
      <c r="H183" s="1">
        <v>0</v>
      </c>
      <c r="I183" s="1" t="s">
        <v>231</v>
      </c>
      <c r="J183" s="1">
        <f t="shared" si="5"/>
        <v>1.02273633333333</v>
      </c>
    </row>
    <row r="184" spans="1:10">
      <c r="A184" s="1" t="s">
        <v>195</v>
      </c>
      <c r="B184" s="1">
        <v>1.017711</v>
      </c>
      <c r="C184" s="1">
        <v>1.02173</v>
      </c>
      <c r="D184" s="1">
        <v>1.017487</v>
      </c>
      <c r="E184" s="1">
        <v>0</v>
      </c>
      <c r="F184" s="1">
        <v>0</v>
      </c>
      <c r="G184" s="1">
        <v>0</v>
      </c>
      <c r="H184" s="1">
        <v>0</v>
      </c>
      <c r="I184" s="1" t="s">
        <v>231</v>
      </c>
      <c r="J184" s="1">
        <f t="shared" si="5"/>
        <v>1.018976</v>
      </c>
    </row>
    <row r="185" spans="1:10">
      <c r="A185" s="1" t="s">
        <v>196</v>
      </c>
      <c r="B185" s="1">
        <v>1.078333</v>
      </c>
      <c r="C185" s="1">
        <v>1.029167</v>
      </c>
      <c r="D185" s="1">
        <v>1.216053</v>
      </c>
      <c r="E185" s="1">
        <v>0</v>
      </c>
      <c r="F185" s="1">
        <v>0</v>
      </c>
      <c r="G185" s="1">
        <v>0</v>
      </c>
      <c r="H185" s="1">
        <v>0</v>
      </c>
      <c r="I185" s="1" t="s">
        <v>231</v>
      </c>
      <c r="J185" s="1">
        <f t="shared" si="5"/>
        <v>1.107851</v>
      </c>
    </row>
    <row r="186" spans="1:10">
      <c r="A186" s="1" t="s">
        <v>239</v>
      </c>
      <c r="B186" s="1">
        <v>0.909961</v>
      </c>
      <c r="C186" s="1">
        <v>0.752581</v>
      </c>
      <c r="D186" s="1">
        <v>0.913587</v>
      </c>
      <c r="E186" s="1">
        <v>0</v>
      </c>
      <c r="F186" s="1">
        <v>0</v>
      </c>
      <c r="G186" s="1">
        <v>0</v>
      </c>
      <c r="H186" s="1">
        <v>0</v>
      </c>
      <c r="I186" s="1" t="s">
        <v>231</v>
      </c>
      <c r="J186" s="1">
        <f t="shared" si="5"/>
        <v>0.858709666666667</v>
      </c>
    </row>
    <row r="187" spans="1:10">
      <c r="A187" s="1" t="s">
        <v>197</v>
      </c>
      <c r="B187" s="1">
        <v>0.97897</v>
      </c>
      <c r="C187" s="1">
        <v>1.001331</v>
      </c>
      <c r="D187" s="1">
        <v>1.032599</v>
      </c>
      <c r="E187" s="1">
        <v>0</v>
      </c>
      <c r="F187" s="1">
        <v>0</v>
      </c>
      <c r="G187" s="1">
        <v>0</v>
      </c>
      <c r="H187" s="1">
        <v>0</v>
      </c>
      <c r="I187" s="1" t="s">
        <v>231</v>
      </c>
      <c r="J187" s="1">
        <f t="shared" si="5"/>
        <v>1.0043</v>
      </c>
    </row>
    <row r="188" spans="1:10">
      <c r="A188" s="1" t="s">
        <v>198</v>
      </c>
      <c r="B188" s="1">
        <v>1.020362</v>
      </c>
      <c r="C188" s="1">
        <v>0.9987</v>
      </c>
      <c r="D188" s="1">
        <v>1.018428</v>
      </c>
      <c r="E188" s="1">
        <v>0</v>
      </c>
      <c r="F188" s="1">
        <v>0</v>
      </c>
      <c r="G188" s="1">
        <v>0</v>
      </c>
      <c r="H188" s="1">
        <v>0</v>
      </c>
      <c r="I188" s="1" t="s">
        <v>231</v>
      </c>
      <c r="J188" s="1">
        <f t="shared" si="5"/>
        <v>1.01249666666667</v>
      </c>
    </row>
    <row r="189" spans="1:10">
      <c r="A189" s="1" t="s">
        <v>199</v>
      </c>
      <c r="B189" s="1">
        <v>1.130535</v>
      </c>
      <c r="C189" s="1">
        <v>1.042427</v>
      </c>
      <c r="D189" s="1">
        <v>1.107875</v>
      </c>
      <c r="E189" s="1">
        <v>0</v>
      </c>
      <c r="F189" s="1">
        <v>0</v>
      </c>
      <c r="G189" s="1">
        <v>0</v>
      </c>
      <c r="H189" s="1">
        <v>0</v>
      </c>
      <c r="I189" s="1" t="s">
        <v>231</v>
      </c>
      <c r="J189" s="1">
        <f t="shared" si="5"/>
        <v>1.09361233333333</v>
      </c>
    </row>
    <row r="190" spans="1:10">
      <c r="A190" s="1" t="s">
        <v>200</v>
      </c>
      <c r="B190" s="1">
        <v>0.984994</v>
      </c>
      <c r="C190" s="1">
        <v>1.000336</v>
      </c>
      <c r="D190" s="1">
        <v>1.005888</v>
      </c>
      <c r="E190" s="1">
        <v>0</v>
      </c>
      <c r="F190" s="1">
        <v>0</v>
      </c>
      <c r="G190" s="1">
        <v>0</v>
      </c>
      <c r="H190" s="1">
        <v>0</v>
      </c>
      <c r="I190" s="1" t="s">
        <v>231</v>
      </c>
      <c r="J190" s="1">
        <f t="shared" si="5"/>
        <v>0.997072666666667</v>
      </c>
    </row>
    <row r="191" spans="1:10">
      <c r="A191" s="1" t="s">
        <v>201</v>
      </c>
      <c r="B191" s="1">
        <v>0.969551</v>
      </c>
      <c r="C191" s="1">
        <v>0.999674</v>
      </c>
      <c r="D191" s="1">
        <v>0.969143</v>
      </c>
      <c r="E191" s="1">
        <v>0</v>
      </c>
      <c r="F191" s="1">
        <v>0</v>
      </c>
      <c r="G191" s="1">
        <v>0</v>
      </c>
      <c r="H191" s="1">
        <v>0</v>
      </c>
      <c r="I191" s="1" t="s">
        <v>231</v>
      </c>
      <c r="J191" s="1">
        <f t="shared" si="5"/>
        <v>0.979456</v>
      </c>
    </row>
    <row r="192" spans="1:10">
      <c r="A192" s="1" t="s">
        <v>202</v>
      </c>
      <c r="B192" s="1">
        <v>0.988948</v>
      </c>
      <c r="C192" s="1">
        <v>0.973937</v>
      </c>
      <c r="D192" s="1">
        <v>0.992569</v>
      </c>
      <c r="E192" s="1">
        <v>0</v>
      </c>
      <c r="F192" s="1">
        <v>0</v>
      </c>
      <c r="G192" s="1">
        <v>0</v>
      </c>
      <c r="H192" s="1">
        <v>0</v>
      </c>
      <c r="I192" s="1" t="s">
        <v>231</v>
      </c>
      <c r="J192" s="1">
        <f t="shared" si="5"/>
        <v>0.985151333333333</v>
      </c>
    </row>
    <row r="193" spans="1:10">
      <c r="A193" s="1" t="s">
        <v>203</v>
      </c>
      <c r="B193" s="1">
        <v>1.140436</v>
      </c>
      <c r="C193" s="1">
        <v>1.041667</v>
      </c>
      <c r="D193" s="1">
        <v>1.209325</v>
      </c>
      <c r="E193" s="1">
        <v>0</v>
      </c>
      <c r="F193" s="1">
        <v>0</v>
      </c>
      <c r="G193" s="1">
        <v>0</v>
      </c>
      <c r="H193" s="1">
        <v>0</v>
      </c>
      <c r="I193" s="1" t="s">
        <v>231</v>
      </c>
      <c r="J193" s="1">
        <f t="shared" si="5"/>
        <v>1.130476</v>
      </c>
    </row>
    <row r="194" spans="1:10">
      <c r="A194" s="1" t="s">
        <v>204</v>
      </c>
      <c r="B194" s="1">
        <v>1.165252</v>
      </c>
      <c r="C194" s="1">
        <v>0</v>
      </c>
      <c r="D194" s="1">
        <v>1.011106</v>
      </c>
      <c r="E194" s="1">
        <v>0</v>
      </c>
      <c r="F194" s="1">
        <v>0</v>
      </c>
      <c r="G194" s="1">
        <v>0</v>
      </c>
      <c r="H194" s="1">
        <v>0</v>
      </c>
      <c r="I194" s="1" t="s">
        <v>231</v>
      </c>
      <c r="J194" s="1">
        <f t="shared" si="5"/>
        <v>1.088179</v>
      </c>
    </row>
    <row r="195" spans="1:10">
      <c r="A195" s="1" t="s">
        <v>205</v>
      </c>
      <c r="B195" s="1">
        <v>2.270292</v>
      </c>
      <c r="C195" s="1">
        <v>3.314713</v>
      </c>
      <c r="D195" s="1">
        <v>2.301043</v>
      </c>
      <c r="E195" s="1">
        <v>0</v>
      </c>
      <c r="F195" s="1">
        <v>0</v>
      </c>
      <c r="G195" s="1">
        <v>0</v>
      </c>
      <c r="H195" s="1">
        <v>0</v>
      </c>
      <c r="I195" s="1" t="s">
        <v>231</v>
      </c>
      <c r="J195" s="1">
        <f t="shared" si="5"/>
        <v>2.62868266666667</v>
      </c>
    </row>
    <row r="196" spans="1:10">
      <c r="A196" s="1" t="s">
        <v>248</v>
      </c>
      <c r="B196" s="1">
        <v>1.081691</v>
      </c>
      <c r="C196" s="1">
        <v>1.061063</v>
      </c>
      <c r="D196" s="1">
        <v>1.065183</v>
      </c>
      <c r="E196" s="1">
        <v>1.068918</v>
      </c>
      <c r="F196" s="1">
        <v>1.053951</v>
      </c>
      <c r="G196" s="1">
        <v>0</v>
      </c>
      <c r="H196" s="1">
        <v>0</v>
      </c>
      <c r="I196" s="1" t="s">
        <v>231</v>
      </c>
      <c r="J196" s="1">
        <f t="shared" si="5"/>
        <v>1.0661612</v>
      </c>
    </row>
    <row r="197" spans="1:10">
      <c r="A197" s="1" t="s">
        <v>249</v>
      </c>
      <c r="B197" s="1">
        <v>1.097802</v>
      </c>
      <c r="C197" s="1">
        <v>1.146123</v>
      </c>
      <c r="D197" s="1">
        <v>1.198901</v>
      </c>
      <c r="E197" s="1">
        <v>1.549023</v>
      </c>
      <c r="F197" s="1">
        <v>1.545055</v>
      </c>
      <c r="G197" s="1">
        <v>0</v>
      </c>
      <c r="H197" s="1">
        <v>0</v>
      </c>
      <c r="I197" s="1" t="s">
        <v>231</v>
      </c>
      <c r="J197" s="1">
        <f t="shared" si="5"/>
        <v>1.3073808</v>
      </c>
    </row>
    <row r="198" spans="1:10">
      <c r="A198" s="1" t="s">
        <v>207</v>
      </c>
      <c r="B198" s="1">
        <v>0.991709</v>
      </c>
      <c r="C198" s="1">
        <v>0.998978</v>
      </c>
      <c r="D198" s="1">
        <v>1.002188</v>
      </c>
      <c r="E198" s="1">
        <v>0</v>
      </c>
      <c r="F198" s="1">
        <v>0</v>
      </c>
      <c r="G198" s="1">
        <v>0</v>
      </c>
      <c r="H198" s="1">
        <v>0</v>
      </c>
      <c r="I198" s="1" t="s">
        <v>231</v>
      </c>
      <c r="J198" s="1">
        <f t="shared" si="5"/>
        <v>0.997625</v>
      </c>
    </row>
    <row r="199" spans="1:10">
      <c r="A199" s="1" t="s">
        <v>208</v>
      </c>
      <c r="B199" s="1">
        <v>1.376179</v>
      </c>
      <c r="C199" s="1">
        <v>1.050565</v>
      </c>
      <c r="D199" s="1">
        <v>1.387379</v>
      </c>
      <c r="E199" s="1">
        <v>0</v>
      </c>
      <c r="F199" s="1">
        <v>0</v>
      </c>
      <c r="G199" s="1">
        <v>0</v>
      </c>
      <c r="H199" s="1">
        <v>0</v>
      </c>
      <c r="I199" s="1" t="s">
        <v>231</v>
      </c>
      <c r="J199" s="1">
        <f t="shared" si="5"/>
        <v>1.27137433333333</v>
      </c>
    </row>
    <row r="200" spans="1:10">
      <c r="A200" s="1" t="s">
        <v>209</v>
      </c>
      <c r="B200" s="1">
        <v>0</v>
      </c>
      <c r="C200" s="1">
        <v>0</v>
      </c>
      <c r="D200" s="1">
        <v>0</v>
      </c>
      <c r="E200" s="1">
        <v>0.23493</v>
      </c>
      <c r="F200" s="1">
        <v>0.179052</v>
      </c>
      <c r="G200" s="1">
        <v>0</v>
      </c>
      <c r="H200" s="1">
        <v>0</v>
      </c>
      <c r="I200" s="1" t="s">
        <v>231</v>
      </c>
      <c r="J200" s="1">
        <f t="shared" si="5"/>
        <v>0.206991</v>
      </c>
    </row>
    <row r="201" spans="1:10">
      <c r="A201" s="1" t="s">
        <v>250</v>
      </c>
      <c r="B201" s="1">
        <v>1.964837</v>
      </c>
      <c r="C201" s="1">
        <v>1.941633</v>
      </c>
      <c r="D201" s="1">
        <v>2.006986</v>
      </c>
      <c r="E201" s="1">
        <v>0</v>
      </c>
      <c r="F201" s="1">
        <v>0</v>
      </c>
      <c r="G201" s="1">
        <v>0</v>
      </c>
      <c r="H201" s="1">
        <v>0</v>
      </c>
      <c r="I201" s="1" t="s">
        <v>231</v>
      </c>
      <c r="J201" s="1">
        <f t="shared" si="5"/>
        <v>1.971152</v>
      </c>
    </row>
    <row r="202" spans="1:10">
      <c r="A202" s="1" t="s">
        <v>251</v>
      </c>
      <c r="B202" s="1">
        <v>1.767734</v>
      </c>
      <c r="C202" s="1">
        <v>1.095892</v>
      </c>
      <c r="D202" s="1">
        <v>1.754831</v>
      </c>
      <c r="E202" s="1">
        <v>0</v>
      </c>
      <c r="F202" s="1">
        <v>0</v>
      </c>
      <c r="G202" s="1">
        <v>0</v>
      </c>
      <c r="H202" s="1">
        <v>0</v>
      </c>
      <c r="I202" s="1" t="s">
        <v>231</v>
      </c>
      <c r="J202" s="1">
        <f t="shared" si="5"/>
        <v>1.53948566666667</v>
      </c>
    </row>
    <row r="203" spans="1:10">
      <c r="A203" s="1" t="s">
        <v>211</v>
      </c>
      <c r="B203" s="1">
        <v>0.912061</v>
      </c>
      <c r="C203" s="1">
        <v>0.858088</v>
      </c>
      <c r="D203" s="1">
        <v>0.898729</v>
      </c>
      <c r="E203" s="1">
        <v>0</v>
      </c>
      <c r="F203" s="1">
        <v>0</v>
      </c>
      <c r="G203" s="1">
        <v>0</v>
      </c>
      <c r="H203" s="1">
        <v>0</v>
      </c>
      <c r="I203" s="1" t="s">
        <v>231</v>
      </c>
      <c r="J203" s="1">
        <f t="shared" si="5"/>
        <v>0.889626</v>
      </c>
    </row>
    <row r="204" spans="1:10">
      <c r="A204" s="1" t="s">
        <v>212</v>
      </c>
      <c r="B204" s="1">
        <v>0.321212</v>
      </c>
      <c r="C204" s="1">
        <v>1.018182</v>
      </c>
      <c r="D204" s="1">
        <v>0.320833</v>
      </c>
      <c r="E204" s="1">
        <v>0</v>
      </c>
      <c r="F204" s="1">
        <v>0</v>
      </c>
      <c r="G204" s="1">
        <v>0</v>
      </c>
      <c r="H204" s="1">
        <v>0.945455</v>
      </c>
      <c r="I204" s="1" t="s">
        <v>231</v>
      </c>
      <c r="J204" s="1">
        <f t="shared" si="5"/>
        <v>0.6514205</v>
      </c>
    </row>
    <row r="205" spans="1:10">
      <c r="A205" s="1" t="s">
        <v>213</v>
      </c>
      <c r="B205" s="1">
        <v>1.113533</v>
      </c>
      <c r="C205" s="1">
        <v>1.035999</v>
      </c>
      <c r="D205" s="1">
        <v>1.097937</v>
      </c>
      <c r="E205" s="1">
        <v>0</v>
      </c>
      <c r="F205" s="1">
        <v>0</v>
      </c>
      <c r="G205" s="1">
        <v>0</v>
      </c>
      <c r="H205" s="1">
        <v>0</v>
      </c>
      <c r="I205" s="1" t="s">
        <v>231</v>
      </c>
      <c r="J205" s="1">
        <f t="shared" si="5"/>
        <v>1.08248966666667</v>
      </c>
    </row>
    <row r="206" spans="1:10">
      <c r="A206" s="1" t="s">
        <v>214</v>
      </c>
      <c r="B206" s="1">
        <v>1.106364</v>
      </c>
      <c r="C206" s="1">
        <v>1.079905</v>
      </c>
      <c r="D206" s="1">
        <v>1.105238</v>
      </c>
      <c r="E206" s="1">
        <v>0</v>
      </c>
      <c r="F206" s="1">
        <v>0</v>
      </c>
      <c r="G206" s="1">
        <v>0</v>
      </c>
      <c r="H206" s="1">
        <v>0</v>
      </c>
      <c r="I206" s="1" t="s">
        <v>231</v>
      </c>
      <c r="J206" s="1">
        <f t="shared" si="5"/>
        <v>1.097169</v>
      </c>
    </row>
    <row r="207" spans="1:10">
      <c r="A207" s="1" t="s">
        <v>215</v>
      </c>
      <c r="B207" s="1">
        <v>2.37209</v>
      </c>
      <c r="C207" s="1">
        <v>1.239388</v>
      </c>
      <c r="D207" s="1">
        <v>2.638977</v>
      </c>
      <c r="E207" s="1">
        <v>0</v>
      </c>
      <c r="F207" s="1">
        <v>0</v>
      </c>
      <c r="G207" s="1">
        <v>0</v>
      </c>
      <c r="H207" s="1">
        <v>0</v>
      </c>
      <c r="I207" s="1" t="s">
        <v>231</v>
      </c>
      <c r="J207" s="1">
        <f t="shared" si="5"/>
        <v>2.083485</v>
      </c>
    </row>
    <row r="208" spans="1:10">
      <c r="A208" s="1" t="s">
        <v>216</v>
      </c>
      <c r="B208" s="1">
        <v>1.001801</v>
      </c>
      <c r="C208" s="1">
        <v>1.003946</v>
      </c>
      <c r="D208" s="1">
        <v>1.001184</v>
      </c>
      <c r="E208" s="1">
        <v>0</v>
      </c>
      <c r="F208" s="1">
        <v>0</v>
      </c>
      <c r="G208" s="1">
        <v>0</v>
      </c>
      <c r="H208" s="1">
        <v>0</v>
      </c>
      <c r="I208" s="1" t="s">
        <v>231</v>
      </c>
      <c r="J208" s="1">
        <f t="shared" si="5"/>
        <v>1.00231033333333</v>
      </c>
    </row>
    <row r="209" spans="1:10">
      <c r="A209" s="1" t="s">
        <v>217</v>
      </c>
      <c r="B209" s="1">
        <v>1.007407</v>
      </c>
      <c r="C209" s="1">
        <v>1.033703</v>
      </c>
      <c r="D209" s="1">
        <v>0.985862</v>
      </c>
      <c r="E209" s="1">
        <v>0</v>
      </c>
      <c r="F209" s="1">
        <v>0</v>
      </c>
      <c r="G209" s="1">
        <v>0</v>
      </c>
      <c r="H209" s="1">
        <v>0</v>
      </c>
      <c r="I209" s="1" t="s">
        <v>231</v>
      </c>
      <c r="J209" s="1">
        <f t="shared" si="5"/>
        <v>1.00899066666667</v>
      </c>
    </row>
    <row r="210" spans="1:10">
      <c r="A210" s="1" t="s">
        <v>218</v>
      </c>
      <c r="B210" s="1">
        <v>1</v>
      </c>
      <c r="C210" s="1">
        <v>1.000296</v>
      </c>
      <c r="D210" s="1">
        <v>1.026043</v>
      </c>
      <c r="E210" s="1">
        <v>0</v>
      </c>
      <c r="F210" s="1">
        <v>0</v>
      </c>
      <c r="G210" s="1">
        <v>0</v>
      </c>
      <c r="H210" s="1">
        <v>0</v>
      </c>
      <c r="I210" s="1" t="s">
        <v>231</v>
      </c>
      <c r="J210" s="1">
        <f t="shared" si="5"/>
        <v>1.00877966666667</v>
      </c>
    </row>
    <row r="211" ht="23.2" spans="9:11">
      <c r="I211" s="3" t="s">
        <v>230</v>
      </c>
      <c r="J211" s="3">
        <f>AVERAGE(J2:J210)</f>
        <v>2.69326670223286</v>
      </c>
      <c r="K211"/>
    </row>
    <row r="212" ht="23.2" spans="9:11">
      <c r="I212" s="3" t="s">
        <v>252</v>
      </c>
      <c r="J212" s="3">
        <f>COUNTIF(J2:J210,"&lt;0.8")</f>
        <v>21</v>
      </c>
      <c r="K212" s="4">
        <f>J212/J215</f>
        <v>0.100478468899522</v>
      </c>
    </row>
    <row r="213" ht="23.2" spans="9:11">
      <c r="I213" s="3" t="s">
        <v>253</v>
      </c>
      <c r="J213" s="3">
        <f>COUNTIFS(J2:J210,"&gt;=0.8",J2:J210,"&lt;1.0")</f>
        <v>66</v>
      </c>
      <c r="K213" s="4">
        <f>J213/J215</f>
        <v>0.315789473684211</v>
      </c>
    </row>
    <row r="214" ht="23.2" spans="9:11">
      <c r="I214" s="3" t="s">
        <v>254</v>
      </c>
      <c r="J214" s="3">
        <f>COUNTIF(J2:J210,"&gt;=1.0")</f>
        <v>122</v>
      </c>
      <c r="K214" s="4">
        <f>J214/J215</f>
        <v>0.583732057416268</v>
      </c>
    </row>
    <row r="215" ht="23.2" spans="9:11">
      <c r="I215" s="3" t="s">
        <v>255</v>
      </c>
      <c r="J215" s="3">
        <f>SUM(J212:J214)</f>
        <v>209</v>
      </c>
      <c r="K215" s="4">
        <f>SUM(K212:K214)</f>
        <v>1</v>
      </c>
    </row>
    <row r="216" spans="9:11">
      <c r="I216"/>
      <c r="J216"/>
      <c r="K216"/>
    </row>
    <row r="217" ht="23.2" spans="9:11">
      <c r="I217" s="5" t="s">
        <v>256</v>
      </c>
      <c r="J217"/>
      <c r="K217"/>
    </row>
    <row r="218" ht="23.2" spans="9:11">
      <c r="I218" s="6">
        <v>0.2</v>
      </c>
      <c r="J218" s="3">
        <f>_xlfn.PERCENTILE.INC(J2:J210,0.2)</f>
        <v>0.973002</v>
      </c>
      <c r="K218"/>
    </row>
    <row r="219" ht="23.2" spans="9:11">
      <c r="I219" s="6">
        <v>0.5</v>
      </c>
      <c r="J219" s="3">
        <f>_xlfn.PERCENTILE.INC(J2:J210,0.5)</f>
        <v>1.00521633333333</v>
      </c>
      <c r="K219"/>
    </row>
    <row r="220" ht="23.2" spans="9:10">
      <c r="I220" s="6">
        <v>0.8</v>
      </c>
      <c r="J220" s="3">
        <f>_xlfn.PERCENTILE.INC(J2:J210,0.8)</f>
        <v>1.4265676</v>
      </c>
    </row>
    <row r="221" ht="23.2" spans="9:11">
      <c r="I221" s="6">
        <v>0.8</v>
      </c>
      <c r="J221" s="3">
        <f>_xlfn.PERCENTILE.INC(J2:J175,0.8)</f>
        <v>1.35759766666667</v>
      </c>
      <c r="K22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OpList</vt:lpstr>
      <vt:lpstr>Speedup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1026</dc:creator>
  <cp:lastModifiedBy>caiqm_hello</cp:lastModifiedBy>
  <dcterms:created xsi:type="dcterms:W3CDTF">2024-06-12T10:51:00Z</dcterms:created>
  <dcterms:modified xsi:type="dcterms:W3CDTF">2025-11-06T17:50:43Z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3BE0CB87CF2E459E85F251EECB88316C_12</vt:lpwstr>
  </property>
  <property fmtid="{D5CDD505-2E9C-101B-9397-08002B2CF9AE}" pid="3" name="KSOProductBuildVer">
    <vt:lpwstr>2052-12.1.22553.22553</vt:lpwstr>
  </property>
</Properties>
</file>